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Wyatt\Documents\"/>
    </mc:Choice>
  </mc:AlternateContent>
  <xr:revisionPtr revIDLastSave="0" documentId="13_ncr:1_{2855DB51-2D5F-467B-ABFC-DEB73BB40EA7}" xr6:coauthVersionLast="47" xr6:coauthVersionMax="47" xr10:uidLastSave="{00000000-0000-0000-0000-000000000000}"/>
  <bookViews>
    <workbookView xWindow="-108" yWindow="-108" windowWidth="23256" windowHeight="12576" xr2:uid="{1BA092B7-98DE-4DD4-8BAD-92CCFC7BE32F}"/>
  </bookViews>
  <sheets>
    <sheet name="Journal" sheetId="1" r:id="rId1"/>
    <sheet name="Statistics &amp; Data" sheetId="2" r:id="rId2"/>
    <sheet name="Returns Over Time" sheetId="3" r:id="rId3"/>
  </sheets>
  <calcPr calcId="191029" iterate="1" iterateCount="1000"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7" i="2" l="1"/>
  <c r="L14" i="1"/>
  <c r="I39" i="1"/>
  <c r="B17" i="2"/>
  <c r="B16" i="2"/>
  <c r="I91" i="1"/>
  <c r="J9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Wyatt</author>
  </authors>
  <commentList>
    <comment ref="H25" authorId="0" shapeId="0" xr:uid="{3138038E-085D-4FB3-96A4-64A4BE1CC8CD}">
      <text>
        <r>
          <rPr>
            <b/>
            <sz val="9"/>
            <color indexed="81"/>
            <rFont val="Tahoma"/>
            <family val="2"/>
          </rPr>
          <t>Wyatt:</t>
        </r>
        <r>
          <rPr>
            <sz val="9"/>
            <color indexed="81"/>
            <rFont val="Tahoma"/>
            <family val="2"/>
          </rPr>
          <t xml:space="preserve">
Don't fully understand the option price movement when utilizing VIX, decided to exit just to be safe.</t>
        </r>
      </text>
    </comment>
    <comment ref="A26" authorId="0" shapeId="0" xr:uid="{CC3B9B36-EDA0-42B0-B1ED-1E795017EC96}">
      <text>
        <r>
          <rPr>
            <b/>
            <sz val="9"/>
            <color indexed="81"/>
            <rFont val="Tahoma"/>
            <family val="2"/>
          </rPr>
          <t>Wyatt:</t>
        </r>
        <r>
          <rPr>
            <sz val="9"/>
            <color indexed="81"/>
            <rFont val="Tahoma"/>
            <family val="2"/>
          </rPr>
          <t xml:space="preserve">
Experimenting with calendar spread: Low IV in SPY right now on the 6mo chart, hoping for consolidation this week and IV spike. Want to exit at 20% of risk.</t>
        </r>
      </text>
    </comment>
    <comment ref="H26" authorId="0" shapeId="0" xr:uid="{602F767C-41AC-4ACE-B331-0A4346F6DA95}">
      <text>
        <r>
          <rPr>
            <b/>
            <sz val="9"/>
            <color indexed="81"/>
            <rFont val="Tahoma"/>
            <family val="2"/>
          </rPr>
          <t>Wyatt:</t>
        </r>
        <r>
          <rPr>
            <sz val="9"/>
            <color indexed="81"/>
            <rFont val="Tahoma"/>
            <family val="2"/>
          </rPr>
          <t xml:space="preserve">
Exiting for a 5% win, wanted more but less confident now that market volatility will spike soon. Perhaps will try again before presedential confirmation date. </t>
        </r>
      </text>
    </comment>
    <comment ref="A27" authorId="0" shapeId="0" xr:uid="{A70AE90F-0A70-4753-A3F3-CFE9C1C7CB48}">
      <text>
        <r>
          <rPr>
            <b/>
            <sz val="9"/>
            <color indexed="81"/>
            <rFont val="Tahoma"/>
            <family val="2"/>
          </rPr>
          <t>Wyatt:</t>
        </r>
        <r>
          <rPr>
            <sz val="9"/>
            <color indexed="81"/>
            <rFont val="Tahoma"/>
            <family val="2"/>
          </rPr>
          <t xml:space="preserve">
Insanely high IV on PLTR, WSB very active. Hoping for IV crush soon, was able to leverage IV for a good entry with a very wide IC spread.</t>
        </r>
      </text>
    </comment>
    <comment ref="H27" authorId="0" shapeId="0" xr:uid="{928F3C07-2E2C-4942-8864-2DF068F98AB7}">
      <text>
        <r>
          <rPr>
            <b/>
            <sz val="9"/>
            <color indexed="81"/>
            <rFont val="Tahoma"/>
            <family val="2"/>
          </rPr>
          <t>Wyatt:</t>
        </r>
        <r>
          <rPr>
            <sz val="9"/>
            <color indexed="81"/>
            <rFont val="Tahoma"/>
            <family val="2"/>
          </rPr>
          <t xml:space="preserve">
Exited for 50% of max profit, I probably could've held for more profit but decided I would take the money and reposition.</t>
        </r>
      </text>
    </comment>
    <comment ref="A29" authorId="0" shapeId="0" xr:uid="{FE7E28C8-496E-416C-BE82-FFE9B5AC4A19}">
      <text>
        <r>
          <rPr>
            <b/>
            <sz val="9"/>
            <color indexed="81"/>
            <rFont val="Tahoma"/>
            <family val="2"/>
          </rPr>
          <t>Wyatt:</t>
        </r>
        <r>
          <rPr>
            <sz val="9"/>
            <color indexed="81"/>
            <rFont val="Tahoma"/>
            <family val="2"/>
          </rPr>
          <t xml:space="preserve">
PLUG had a consolidation today, resulting in uptick in IVR.</t>
        </r>
      </text>
    </comment>
    <comment ref="E29" authorId="0" shapeId="0" xr:uid="{6446F116-69BA-42BE-94F8-49D15C0418C2}">
      <text>
        <r>
          <rPr>
            <b/>
            <sz val="9"/>
            <color indexed="81"/>
            <rFont val="Tahoma"/>
            <family val="2"/>
          </rPr>
          <t>Wyatt:</t>
        </r>
        <r>
          <rPr>
            <sz val="9"/>
            <color indexed="81"/>
            <rFont val="Tahoma"/>
            <family val="2"/>
          </rPr>
          <t xml:space="preserve">
Trade moved against me: price fell below 24 so I rolled the untested side up a strike. Paid 0.4db, collected 0.72.
</t>
        </r>
      </text>
    </comment>
    <comment ref="H29" authorId="0" shapeId="0" xr:uid="{699006F1-3663-43AA-A0EF-C7542926275C}">
      <text>
        <r>
          <rPr>
            <b/>
            <sz val="9"/>
            <color indexed="81"/>
            <rFont val="Tahoma"/>
            <family val="2"/>
          </rPr>
          <t>Wyatt:</t>
        </r>
        <r>
          <rPr>
            <sz val="9"/>
            <color indexed="81"/>
            <rFont val="Tahoma"/>
            <family val="2"/>
          </rPr>
          <t xml:space="preserve">
Exited for .01 under 50% of max profit of new spread after adjustment. </t>
        </r>
      </text>
    </comment>
    <comment ref="A30" authorId="0" shapeId="0" xr:uid="{A8D4EDC4-C751-4731-8B61-F0118E224818}">
      <text>
        <r>
          <rPr>
            <b/>
            <sz val="9"/>
            <color indexed="81"/>
            <rFont val="Tahoma"/>
            <family val="2"/>
          </rPr>
          <t>Wyatt:</t>
        </r>
        <r>
          <rPr>
            <sz val="9"/>
            <color indexed="81"/>
            <rFont val="Tahoma"/>
            <family val="2"/>
          </rPr>
          <t xml:space="preserve">
Second attempt at calendar spread. Earnings call is 1/15, hoping for IV pump for a 10 - 20 percent profit on risk.</t>
        </r>
      </text>
    </comment>
    <comment ref="H30" authorId="0" shapeId="0" xr:uid="{96131208-A86E-4A22-B0DD-731745C62F52}">
      <text>
        <r>
          <rPr>
            <b/>
            <sz val="9"/>
            <color indexed="81"/>
            <rFont val="Tahoma"/>
            <family val="2"/>
          </rPr>
          <t>Wyatt:</t>
        </r>
        <r>
          <rPr>
            <sz val="9"/>
            <color indexed="81"/>
            <rFont val="Tahoma"/>
            <family val="2"/>
          </rPr>
          <t xml:space="preserve">
Autofilled at goal of 20% ROR. </t>
        </r>
      </text>
    </comment>
    <comment ref="A31" authorId="0" shapeId="0" xr:uid="{B38FA998-ECED-4C69-84F7-9E6569069CAB}">
      <text>
        <r>
          <rPr>
            <b/>
            <sz val="9"/>
            <color indexed="81"/>
            <rFont val="Tahoma"/>
            <family val="2"/>
          </rPr>
          <t>Wyatt:</t>
        </r>
        <r>
          <rPr>
            <sz val="9"/>
            <color indexed="81"/>
            <rFont val="Tahoma"/>
            <family val="2"/>
          </rPr>
          <t xml:space="preserve">
More than 20% drop after a very bad earnings report, I am optimistic that the stock is oversold and will see a gradual correction. </t>
        </r>
      </text>
    </comment>
    <comment ref="H31" authorId="0" shapeId="0" xr:uid="{2B230A5A-5472-41FB-8ADB-29E1A1443C18}">
      <text>
        <r>
          <rPr>
            <b/>
            <sz val="9"/>
            <color indexed="81"/>
            <rFont val="Tahoma"/>
            <family val="2"/>
          </rPr>
          <t>Wyatt:</t>
        </r>
        <r>
          <rPr>
            <sz val="9"/>
            <color indexed="81"/>
            <rFont val="Tahoma"/>
            <family val="2"/>
          </rPr>
          <t xml:space="preserve">
Autofilled at ~50%, perfect exit right where I wanted it.</t>
        </r>
      </text>
    </comment>
    <comment ref="A32" authorId="0" shapeId="0" xr:uid="{FA5C82B4-B849-4ACB-829B-E68761742F68}">
      <text>
        <r>
          <rPr>
            <b/>
            <sz val="9"/>
            <color indexed="81"/>
            <rFont val="Tahoma"/>
            <family val="2"/>
          </rPr>
          <t>Wyatt:</t>
        </r>
        <r>
          <rPr>
            <sz val="9"/>
            <color indexed="81"/>
            <rFont val="Tahoma"/>
            <family val="2"/>
          </rPr>
          <t xml:space="preserve">
Short directional play: PLUG up more than 12% today, I expect to see a correction tomorrow. Will exit tomorrow regardless. </t>
        </r>
      </text>
    </comment>
    <comment ref="H32" authorId="0" shapeId="0" xr:uid="{B267FA9B-B20C-44ED-BAB2-BB5B3A21CE79}">
      <text>
        <r>
          <rPr>
            <b/>
            <sz val="9"/>
            <color indexed="81"/>
            <rFont val="Tahoma"/>
            <family val="2"/>
          </rPr>
          <t>Wyatt:</t>
        </r>
        <r>
          <rPr>
            <sz val="9"/>
            <color indexed="81"/>
            <rFont val="Tahoma"/>
            <family val="2"/>
          </rPr>
          <t xml:space="preserve">
Did not see the correction I was hoping for: exited the trade for a marginal loss</t>
        </r>
      </text>
    </comment>
    <comment ref="A33" authorId="0" shapeId="0" xr:uid="{083D0DBC-51AF-44DB-A496-F381FA1469FB}">
      <text>
        <r>
          <rPr>
            <b/>
            <sz val="9"/>
            <color indexed="81"/>
            <rFont val="Tahoma"/>
            <family val="2"/>
          </rPr>
          <t>Wyatt:</t>
        </r>
        <r>
          <rPr>
            <sz val="9"/>
            <color indexed="81"/>
            <rFont val="Tahoma"/>
            <family val="2"/>
          </rPr>
          <t xml:space="preserve">
Filled for a very small credit which is sub-optimal; however there has been IV expansion with a price fall today. I am probably looking to hold until expiration since I am very confident that the underlying will not fall below the short strike within this time frame. </t>
        </r>
      </text>
    </comment>
    <comment ref="H33" authorId="0" shapeId="0" xr:uid="{21EA6323-05C7-4C8E-A40C-7E4360FDB4D4}">
      <text>
        <r>
          <rPr>
            <b/>
            <sz val="9"/>
            <color indexed="81"/>
            <rFont val="Tahoma"/>
            <family val="2"/>
          </rPr>
          <t>Wyatt:</t>
        </r>
        <r>
          <rPr>
            <sz val="9"/>
            <color indexed="81"/>
            <rFont val="Tahoma"/>
            <family val="2"/>
          </rPr>
          <t xml:space="preserve">
Captured almost 30% of max profit in only two days, exit and pivot to another trade. </t>
        </r>
      </text>
    </comment>
    <comment ref="A34" authorId="0" shapeId="0" xr:uid="{325D778F-FF9E-484F-B6C6-4C145F3C7A50}">
      <text>
        <r>
          <rPr>
            <b/>
            <sz val="9"/>
            <color indexed="81"/>
            <rFont val="Tahoma"/>
            <family val="2"/>
          </rPr>
          <t>Wyatt:</t>
        </r>
        <r>
          <rPr>
            <sz val="9"/>
            <color indexed="81"/>
            <rFont val="Tahoma"/>
            <family val="2"/>
          </rPr>
          <t xml:space="preserve">
Very high IV, I expect to see a contraction within the next week. A little nervous about a huge correction as the stock has seen a +80% rise in underlying in the last week</t>
        </r>
      </text>
    </comment>
    <comment ref="E34" authorId="0" shapeId="0" xr:uid="{0DC40FD3-8EC0-425A-969A-41048DFCE74D}">
      <text>
        <r>
          <rPr>
            <b/>
            <sz val="9"/>
            <color indexed="81"/>
            <rFont val="Tahoma"/>
            <family val="2"/>
          </rPr>
          <t>Wyatt:</t>
        </r>
        <r>
          <rPr>
            <sz val="9"/>
            <color indexed="81"/>
            <rFont val="Tahoma"/>
            <family val="2"/>
          </rPr>
          <t xml:space="preserve">
IV contraction, so rolling up the spread for a 1.80 credit. Collected 1.14 on previous spread, new cost basis is 6.64cr</t>
        </r>
      </text>
    </comment>
    <comment ref="H34" authorId="0" shapeId="0" xr:uid="{66100D25-8E24-4796-99C2-76CE6BAF2387}">
      <text>
        <r>
          <rPr>
            <b/>
            <sz val="9"/>
            <color indexed="81"/>
            <rFont val="Tahoma"/>
            <family val="2"/>
          </rPr>
          <t>Wyatt:</t>
        </r>
        <r>
          <rPr>
            <sz val="9"/>
            <color indexed="81"/>
            <rFont val="Tahoma"/>
            <family val="2"/>
          </rPr>
          <t xml:space="preserve">
Got nervous with a 15% drop in the underlying today. Looked into it: PIPE shares will be made available to sell before Feb which could cause a drastic pullback. Lots of bear sentiment online, closing out the position at breakeven (when considering commissions). Should have sold yesterday for 25% RoR. </t>
        </r>
      </text>
    </comment>
    <comment ref="A35" authorId="0" shapeId="0" xr:uid="{1C821740-A5F2-42C4-BF6B-3FABBCBD7446}">
      <text>
        <r>
          <rPr>
            <b/>
            <sz val="9"/>
            <color indexed="81"/>
            <rFont val="Tahoma"/>
            <family val="2"/>
          </rPr>
          <t>Wyatt:</t>
        </r>
        <r>
          <rPr>
            <sz val="9"/>
            <color indexed="81"/>
            <rFont val="Tahoma"/>
            <family val="2"/>
          </rPr>
          <t xml:space="preserve">
Big drawdown with expansion in IV &gt; bull crfedit spread. Will be looking for only a 20% max profit win here as earnings is coming up and I don't want to be caught in that IV expansion. Hoping to close out in the short-term with price increase and IV contraction and then move into calendar spread for earnings. </t>
        </r>
      </text>
    </comment>
    <comment ref="H35" authorId="0" shapeId="0" xr:uid="{E94FFE1F-15E7-41E4-A1C6-6B1453651F97}">
      <text>
        <r>
          <rPr>
            <b/>
            <sz val="9"/>
            <color indexed="81"/>
            <rFont val="Tahoma"/>
            <family val="2"/>
          </rPr>
          <t>Wyatt:</t>
        </r>
        <r>
          <rPr>
            <sz val="9"/>
            <color indexed="81"/>
            <rFont val="Tahoma"/>
            <family val="2"/>
          </rPr>
          <t xml:space="preserve">
Exited at 20% of max profit as hoped for. Honestly caught me off guard, I believe I could've held longer for more gains. </t>
        </r>
      </text>
    </comment>
    <comment ref="A36" authorId="0" shapeId="0" xr:uid="{D3C3D8D4-62C0-4B17-816E-07F81DD21B21}">
      <text>
        <r>
          <rPr>
            <b/>
            <sz val="9"/>
            <color indexed="81"/>
            <rFont val="Tahoma"/>
            <family val="2"/>
          </rPr>
          <t>Wyatt:</t>
        </r>
        <r>
          <rPr>
            <sz val="9"/>
            <color indexed="81"/>
            <rFont val="Tahoma"/>
            <family val="2"/>
          </rPr>
          <t xml:space="preserve">
AMD earnings is the 26th, looking for slight upward movement and volatility expansion for a 20% RoR.</t>
        </r>
      </text>
    </comment>
    <comment ref="H36" authorId="0" shapeId="0" xr:uid="{91FC6ABF-162A-44FA-B628-7D7DDEAE4CBF}">
      <text>
        <r>
          <rPr>
            <b/>
            <sz val="9"/>
            <color indexed="81"/>
            <rFont val="Tahoma"/>
            <family val="2"/>
          </rPr>
          <t>Wyatt:</t>
        </r>
        <r>
          <rPr>
            <sz val="9"/>
            <color indexed="81"/>
            <rFont val="Tahoma"/>
            <family val="2"/>
          </rPr>
          <t xml:space="preserve">
Exiting out at 10% RoR, nervous about how much the market is going up. Not confident in collecting theta when such directional moves are happening.</t>
        </r>
      </text>
    </comment>
    <comment ref="A37" authorId="0" shapeId="0" xr:uid="{FDDFADF3-CF55-4C2E-9830-55F42053575C}">
      <text>
        <r>
          <rPr>
            <b/>
            <sz val="9"/>
            <color indexed="81"/>
            <rFont val="Tahoma"/>
            <family val="2"/>
          </rPr>
          <t>Wyatt:</t>
        </r>
        <r>
          <rPr>
            <sz val="9"/>
            <color indexed="81"/>
            <rFont val="Tahoma"/>
            <family val="2"/>
          </rPr>
          <t xml:space="preserve">
Hedge against PLUG position, looking for 50% exit of max profit. As COVID comes down should see increase. </t>
        </r>
      </text>
    </comment>
    <comment ref="E37" authorId="0" shapeId="0" xr:uid="{17A4D33C-EF4A-462A-89C6-D3492448B13B}">
      <text>
        <r>
          <rPr>
            <b/>
            <sz val="9"/>
            <color indexed="81"/>
            <rFont val="Tahoma"/>
            <family val="2"/>
          </rPr>
          <t>Wyatt:</t>
        </r>
        <r>
          <rPr>
            <sz val="9"/>
            <color indexed="81"/>
            <rFont val="Tahoma"/>
            <family val="2"/>
          </rPr>
          <t xml:space="preserve">
Short leg was at expiry, rolled it out a week before long expiry. Will see if rises: may look to close out without exercise at 50% of max profit. Collected 1.02cr | new cost basis is 2.10.</t>
        </r>
      </text>
    </comment>
    <comment ref="H37" authorId="0" shapeId="0" xr:uid="{FB86F736-5898-4924-BC2F-8C8D75FA9F9A}">
      <text>
        <r>
          <rPr>
            <b/>
            <sz val="9"/>
            <color indexed="81"/>
            <rFont val="Tahoma"/>
            <family val="2"/>
          </rPr>
          <t xml:space="preserve">Wyatt
</t>
        </r>
        <r>
          <rPr>
            <sz val="9"/>
            <color indexed="81"/>
            <rFont val="Tahoma"/>
            <family val="2"/>
          </rPr>
          <t>Closed at 28% RoR of original trade price. Management was good in this trade.</t>
        </r>
      </text>
    </comment>
    <comment ref="A38" authorId="0" shapeId="0" xr:uid="{F2CDCA50-EC1E-473F-B994-42AD75AA4F16}">
      <text>
        <r>
          <rPr>
            <b/>
            <sz val="9"/>
            <color indexed="81"/>
            <rFont val="Tahoma"/>
            <family val="2"/>
          </rPr>
          <t>Wyatt:</t>
        </r>
        <r>
          <rPr>
            <sz val="9"/>
            <color indexed="81"/>
            <rFont val="Tahoma"/>
            <family val="2"/>
          </rPr>
          <t xml:space="preserve">
Speculating that PLUG will see a correction tomorrow after massive 12% gain today, then continue to move upward to short strike. Looking to strictly generate theta, not a volatility play. Looking for 10% RoR quick exit here.</t>
        </r>
      </text>
    </comment>
    <comment ref="H38" authorId="0" shapeId="0" xr:uid="{38439C75-FA8C-4330-A393-DD93B004A40F}">
      <text>
        <r>
          <rPr>
            <b/>
            <sz val="9"/>
            <color indexed="81"/>
            <rFont val="Tahoma"/>
            <family val="2"/>
          </rPr>
          <t>Wyatt:</t>
        </r>
        <r>
          <rPr>
            <sz val="9"/>
            <color indexed="81"/>
            <rFont val="Tahoma"/>
            <family val="2"/>
          </rPr>
          <t xml:space="preserve">
Surprising bullish news made the stock soar far too much, exiting for a loss. </t>
        </r>
      </text>
    </comment>
    <comment ref="A39" authorId="0" shapeId="0" xr:uid="{8E4B0BFC-6794-4468-9416-03A7B5421CCE}">
      <text>
        <r>
          <rPr>
            <b/>
            <sz val="9"/>
            <color indexed="81"/>
            <rFont val="Tahoma"/>
            <family val="2"/>
          </rPr>
          <t>Wyatt:</t>
        </r>
        <r>
          <rPr>
            <sz val="9"/>
            <color indexed="81"/>
            <rFont val="Tahoma"/>
            <family val="2"/>
          </rPr>
          <t xml:space="preserve">
Following a Battista trade (tastytrade) want to experiment with short strangle / straddles anyways. Still, nervous since not my original idea so exit is set at 25% of max profit. </t>
        </r>
      </text>
    </comment>
    <comment ref="E39" authorId="0" shapeId="0" xr:uid="{2D6B9DDD-45EA-486B-9BED-8E2DBEF5FA52}">
      <text>
        <r>
          <rPr>
            <b/>
            <sz val="9"/>
            <color indexed="81"/>
            <rFont val="Tahoma"/>
            <family val="2"/>
          </rPr>
          <t>Wyatt:</t>
        </r>
        <r>
          <rPr>
            <sz val="9"/>
            <color indexed="81"/>
            <rFont val="Tahoma"/>
            <family val="2"/>
          </rPr>
          <t xml:space="preserve">
Big movement today, GME up 8%, going to roll up the untested side.</t>
        </r>
      </text>
    </comment>
    <comment ref="H39" authorId="0" shapeId="0" xr:uid="{0DB559E2-5F69-401D-A295-3C24D95FF297}">
      <text>
        <r>
          <rPr>
            <b/>
            <sz val="9"/>
            <color indexed="81"/>
            <rFont val="Tahoma"/>
            <family val="2"/>
          </rPr>
          <t>Wyatt:</t>
        </r>
        <r>
          <rPr>
            <sz val="9"/>
            <color indexed="81"/>
            <rFont val="Tahoma"/>
            <family val="2"/>
          </rPr>
          <t xml:space="preserve">
GME moved up 80% in only hours. Tastyworks forced liquidation of my account. FUCK….. Lesson learned, unless you got more money, NO FUCKING NAKED SHORTS</t>
        </r>
      </text>
    </comment>
    <comment ref="A40" authorId="0" shapeId="0" xr:uid="{B9F77E7E-CEDC-4F5A-8D23-2978998A4508}">
      <text>
        <r>
          <rPr>
            <b/>
            <sz val="9"/>
            <color indexed="81"/>
            <rFont val="Tahoma"/>
            <family val="2"/>
          </rPr>
          <t>Wyatt:</t>
        </r>
        <r>
          <rPr>
            <sz val="9"/>
            <color indexed="81"/>
            <rFont val="Tahoma"/>
            <family val="2"/>
          </rPr>
          <t xml:space="preserve">
Ahead of presedential confirmation am bullish of volatility… will also be used as a bear hedge against the bull positions I will be getting into today. </t>
        </r>
      </text>
    </comment>
    <comment ref="E40" authorId="0" shapeId="0" xr:uid="{211C743A-FE96-48ED-8A57-9B95C50744D0}">
      <text>
        <r>
          <rPr>
            <b/>
            <sz val="9"/>
            <color indexed="81"/>
            <rFont val="Tahoma"/>
            <family val="2"/>
          </rPr>
          <t>Wyatt:</t>
        </r>
        <r>
          <rPr>
            <sz val="9"/>
            <color indexed="81"/>
            <rFont val="Tahoma"/>
            <family val="2"/>
          </rPr>
          <t xml:space="preserve">
Increase in VIX today of 8%, decided to roll up the long strike for a credit of .34 to decrease max loss. New cost basis is .75</t>
        </r>
      </text>
    </comment>
    <comment ref="H40" authorId="0" shapeId="0" xr:uid="{2221ADE3-D758-4347-885A-97C547A3582C}">
      <text>
        <r>
          <rPr>
            <b/>
            <sz val="9"/>
            <color indexed="81"/>
            <rFont val="Tahoma"/>
            <family val="2"/>
          </rPr>
          <t>Wyatt:</t>
        </r>
        <r>
          <rPr>
            <sz val="9"/>
            <color indexed="81"/>
            <rFont val="Tahoma"/>
            <family val="2"/>
          </rPr>
          <t xml:space="preserve">
See GME</t>
        </r>
      </text>
    </comment>
    <comment ref="A41" authorId="0" shapeId="0" xr:uid="{E2573482-CCA2-4614-92C7-AF7CE53B4BDF}">
      <text>
        <r>
          <rPr>
            <b/>
            <sz val="9"/>
            <color indexed="81"/>
            <rFont val="Tahoma"/>
            <family val="2"/>
          </rPr>
          <t>Wyatt:</t>
        </r>
        <r>
          <rPr>
            <sz val="9"/>
            <color indexed="81"/>
            <rFont val="Tahoma"/>
            <family val="2"/>
          </rPr>
          <t xml:space="preserve">
Big loss on underlying after China anti-trust investigation announced, coinciding with IV expansion. Made a mistake selling an ITM put credit spread but still bullish on the stock, hopefully will see correction over the next month. </t>
        </r>
      </text>
    </comment>
    <comment ref="H41" authorId="0" shapeId="0" xr:uid="{C3FE25AA-4D00-4E08-A1B7-40DE0B4D1B10}">
      <text>
        <r>
          <rPr>
            <b/>
            <sz val="9"/>
            <color indexed="81"/>
            <rFont val="Tahoma"/>
            <family val="2"/>
          </rPr>
          <t>Wyatt:</t>
        </r>
        <r>
          <rPr>
            <sz val="9"/>
            <color indexed="81"/>
            <rFont val="Tahoma"/>
            <family val="2"/>
          </rPr>
          <t xml:space="preserve">
See GME</t>
        </r>
      </text>
    </comment>
    <comment ref="A42" authorId="0" shapeId="0" xr:uid="{7D27E0AE-EE6C-4BE8-A3FE-440673EA7892}">
      <text>
        <r>
          <rPr>
            <b/>
            <sz val="9"/>
            <color indexed="81"/>
            <rFont val="Tahoma"/>
            <family val="2"/>
          </rPr>
          <t>Wyatt:</t>
        </r>
        <r>
          <rPr>
            <sz val="9"/>
            <color indexed="81"/>
            <rFont val="Tahoma"/>
            <family val="2"/>
          </rPr>
          <t xml:space="preserve">
Looking for IV expansion into earnings once again, as well as time decay. Hoping for 20% RoR once again. </t>
        </r>
      </text>
    </comment>
    <comment ref="E42" authorId="0" shapeId="0" xr:uid="{71D8B993-DFB2-445A-88CE-6E3FC1C3745B}">
      <text>
        <r>
          <rPr>
            <b/>
            <sz val="9"/>
            <color indexed="81"/>
            <rFont val="Tahoma"/>
            <family val="2"/>
          </rPr>
          <t>Wyatt:</t>
        </r>
        <r>
          <rPr>
            <sz val="9"/>
            <color indexed="81"/>
            <rFont val="Tahoma"/>
            <family val="2"/>
          </rPr>
          <t xml:space="preserve">
Trade moved WAY against me, JPM up to 135 so I am buying back the short put in hope of a correction tomorrow where I mat be able to minimize losses.  | Setting up diagonal bear play to try and minimize theta decay on my long put, still looking for correction for exit, time will tell if this was the right move. </t>
        </r>
      </text>
    </comment>
    <comment ref="H42" authorId="0" shapeId="0" xr:uid="{FD9B945E-8294-4DD5-B84A-D71E1AB36B1E}">
      <text>
        <r>
          <rPr>
            <b/>
            <sz val="9"/>
            <color indexed="81"/>
            <rFont val="Tahoma"/>
            <family val="2"/>
          </rPr>
          <t>Wyatt:</t>
        </r>
        <r>
          <rPr>
            <sz val="9"/>
            <color indexed="81"/>
            <rFont val="Tahoma"/>
            <family val="2"/>
          </rPr>
          <t xml:space="preserve">
See GME</t>
        </r>
      </text>
    </comment>
    <comment ref="A44" authorId="0" shapeId="0" xr:uid="{6F07DE75-17E4-4723-9A63-7073910C95E0}">
      <text>
        <r>
          <rPr>
            <b/>
            <sz val="9"/>
            <color indexed="81"/>
            <rFont val="Tahoma"/>
            <family val="2"/>
          </rPr>
          <t>Wyatt:</t>
        </r>
        <r>
          <rPr>
            <sz val="9"/>
            <color indexed="81"/>
            <rFont val="Tahoma"/>
            <family val="2"/>
          </rPr>
          <t xml:space="preserve">
Low volatility on massive price increase. Looking for short-term correction and a quick exit. </t>
        </r>
      </text>
    </comment>
    <comment ref="H44" authorId="0" shapeId="0" xr:uid="{AAF2B7C2-3471-4F86-AD09-80A0AF3A3592}">
      <text>
        <r>
          <rPr>
            <b/>
            <sz val="9"/>
            <color indexed="81"/>
            <rFont val="Tahoma"/>
            <family val="2"/>
          </rPr>
          <t>Wyatt:</t>
        </r>
        <r>
          <rPr>
            <sz val="9"/>
            <color indexed="81"/>
            <rFont val="Tahoma"/>
            <family val="2"/>
          </rPr>
          <t xml:space="preserve">
Corrected as predicted, exited for a 22% ROI. </t>
        </r>
      </text>
    </comment>
    <comment ref="A45" authorId="0" shapeId="0" xr:uid="{467D2075-1AAA-414C-981C-35BEC843DB4F}">
      <text>
        <r>
          <rPr>
            <b/>
            <sz val="9"/>
            <color indexed="81"/>
            <rFont val="Tahoma"/>
            <family val="2"/>
          </rPr>
          <t>Wyatt:</t>
        </r>
        <r>
          <rPr>
            <sz val="9"/>
            <color indexed="81"/>
            <rFont val="Tahoma"/>
            <family val="2"/>
          </rPr>
          <t xml:space="preserve">
Big upward movement on no news, RSI far beyond 80. Looking for correction tomorrow for a quick exit. </t>
        </r>
      </text>
    </comment>
    <comment ref="H45" authorId="0" shapeId="0" xr:uid="{B1697B67-9063-49E3-BA86-B874D5648052}">
      <text>
        <r>
          <rPr>
            <b/>
            <sz val="9"/>
            <color indexed="81"/>
            <rFont val="Tahoma"/>
            <family val="2"/>
          </rPr>
          <t>Wyatt:</t>
        </r>
        <r>
          <rPr>
            <sz val="9"/>
            <color indexed="81"/>
            <rFont val="Tahoma"/>
            <family val="2"/>
          </rPr>
          <t xml:space="preserve">
Saw correction as predicted. Exited for a 33% ROI. Probably shoud have increased my initial position, but oh well. </t>
        </r>
      </text>
    </comment>
    <comment ref="A46" authorId="0" shapeId="0" xr:uid="{CE7DE7F1-06DF-49CC-870E-46B4D395F256}">
      <text>
        <r>
          <rPr>
            <b/>
            <sz val="9"/>
            <color indexed="81"/>
            <rFont val="Tahoma"/>
            <family val="2"/>
          </rPr>
          <t>Wyatt:</t>
        </r>
        <r>
          <rPr>
            <sz val="9"/>
            <color indexed="81"/>
            <rFont val="Tahoma"/>
            <family val="2"/>
          </rPr>
          <t xml:space="preserve">
Looking to experiment a little with an iron fly, trying to maximize negative vega. Will watch closely and exit if price moves too much</t>
        </r>
      </text>
    </comment>
    <comment ref="H46" authorId="0" shapeId="0" xr:uid="{3D2BC4E0-1D2C-412E-95D7-5637F18C3649}">
      <text>
        <r>
          <rPr>
            <b/>
            <sz val="9"/>
            <color indexed="81"/>
            <rFont val="Tahoma"/>
            <family val="2"/>
          </rPr>
          <t>Wyatt:</t>
        </r>
        <r>
          <rPr>
            <sz val="9"/>
            <color indexed="81"/>
            <rFont val="Tahoma"/>
            <family val="2"/>
          </rPr>
          <t xml:space="preserve">
Exited at break-even. Probably could've held for more time decay, but just didn't really like the price movement. Recovered too quickly. </t>
        </r>
      </text>
    </comment>
    <comment ref="A47" authorId="0" shapeId="0" xr:uid="{A146209A-11F7-4324-99FB-F36F0D8FF5EE}">
      <text>
        <r>
          <rPr>
            <b/>
            <sz val="9"/>
            <color indexed="81"/>
            <rFont val="Tahoma"/>
            <family val="2"/>
          </rPr>
          <t>Wyatt:</t>
        </r>
        <r>
          <rPr>
            <sz val="9"/>
            <color indexed="81"/>
            <rFont val="Tahoma"/>
            <family val="2"/>
          </rPr>
          <t xml:space="preserve">
Decently high IV, looking for 25% of Credit Collected (CC) since the spread is pretty narrow. </t>
        </r>
      </text>
    </comment>
    <comment ref="H47" authorId="0" shapeId="0" xr:uid="{A03BD20B-CFCA-4D97-918F-D73A2F313D0F}">
      <text>
        <r>
          <rPr>
            <b/>
            <sz val="9"/>
            <color indexed="81"/>
            <rFont val="Tahoma"/>
            <family val="2"/>
          </rPr>
          <t>Wyatt:</t>
        </r>
        <r>
          <rPr>
            <sz val="9"/>
            <color indexed="81"/>
            <rFont val="Tahoma"/>
            <family val="2"/>
          </rPr>
          <t xml:space="preserve">
Big move to the upside; gonna exit and pivot to another trade since there is a ton of volatility today. Good day for put credit spread entries. </t>
        </r>
      </text>
    </comment>
    <comment ref="A48" authorId="0" shapeId="0" xr:uid="{2C78DB73-72E1-4CAA-91F0-E4278B6C983F}">
      <text>
        <r>
          <rPr>
            <b/>
            <sz val="9"/>
            <color indexed="81"/>
            <rFont val="Tahoma"/>
            <family val="2"/>
          </rPr>
          <t>Wyatt:</t>
        </r>
        <r>
          <rPr>
            <sz val="9"/>
            <color indexed="81"/>
            <rFont val="Tahoma"/>
            <family val="2"/>
          </rPr>
          <t xml:space="preserve">
Looks overbought, maybe will pull back. Basically just a little lottery ticket</t>
        </r>
      </text>
    </comment>
    <comment ref="H48" authorId="0" shapeId="0" xr:uid="{673830E3-65ED-4BE8-8A34-459254AF79DD}">
      <text>
        <r>
          <rPr>
            <b/>
            <sz val="9"/>
            <color indexed="81"/>
            <rFont val="Tahoma"/>
            <family val="2"/>
          </rPr>
          <t>Wyatt:</t>
        </r>
        <r>
          <rPr>
            <sz val="9"/>
            <color indexed="81"/>
            <rFont val="Tahoma"/>
            <family val="2"/>
          </rPr>
          <t xml:space="preserve">
Exited at breakeven (considering commissions). Saw a slight correction today and just went with it. Not worth my time honestly. </t>
        </r>
      </text>
    </comment>
    <comment ref="A49" authorId="0" shapeId="0" xr:uid="{664BAB0E-4A75-436F-8E84-8E7E34523F3B}">
      <text>
        <r>
          <rPr>
            <b/>
            <sz val="9"/>
            <color indexed="81"/>
            <rFont val="Tahoma"/>
            <family val="2"/>
          </rPr>
          <t>Wyatt:</t>
        </r>
        <r>
          <rPr>
            <sz val="9"/>
            <color indexed="81"/>
            <rFont val="Tahoma"/>
            <family val="2"/>
          </rPr>
          <t xml:space="preserve">
Big increase in volatility today. Looking for a sharp decrease over the following days. Will probably hold until expiration. </t>
        </r>
      </text>
    </comment>
    <comment ref="H49" authorId="0" shapeId="0" xr:uid="{0DD98EE6-C4AB-4D31-8CEC-C21A7DC13FEB}">
      <text>
        <r>
          <rPr>
            <b/>
            <sz val="9"/>
            <color indexed="81"/>
            <rFont val="Tahoma"/>
            <family val="2"/>
          </rPr>
          <t>idfk</t>
        </r>
      </text>
    </comment>
    <comment ref="A50" authorId="0" shapeId="0" xr:uid="{07A9D324-6000-4C79-B23A-442F1E4D8718}">
      <text>
        <r>
          <rPr>
            <b/>
            <sz val="9"/>
            <color indexed="81"/>
            <rFont val="Tahoma"/>
            <family val="2"/>
          </rPr>
          <t>Wyatt:</t>
        </r>
        <r>
          <rPr>
            <sz val="9"/>
            <color indexed="81"/>
            <rFont val="Tahoma"/>
            <family val="2"/>
          </rPr>
          <t xml:space="preserve">
Big volatility expansion and price drop on news of no deal with USPS. Earnings coming march 1st, going to hold up till then, perhaps afterward and profit on correction and volatility contraction. </t>
        </r>
      </text>
    </comment>
    <comment ref="H50" authorId="0" shapeId="0" xr:uid="{2D9DE22A-2039-4167-9EBB-1666F4354B12}">
      <text>
        <r>
          <rPr>
            <b/>
            <sz val="9"/>
            <color indexed="81"/>
            <rFont val="Tahoma"/>
            <family val="2"/>
          </rPr>
          <t>Wyatt:</t>
        </r>
        <r>
          <rPr>
            <sz val="9"/>
            <color indexed="81"/>
            <rFont val="Tahoma"/>
            <family val="2"/>
          </rPr>
          <t xml:space="preserve">
Exiting for 43% ROR. Decided to take profits over holding for further gains today because of big tech / ev rally. </t>
        </r>
      </text>
    </comment>
    <comment ref="A51" authorId="0" shapeId="0" xr:uid="{A6EAF987-64DB-4C78-AAE5-28CE034BC37C}">
      <text>
        <r>
          <rPr>
            <b/>
            <sz val="9"/>
            <color indexed="81"/>
            <rFont val="Tahoma"/>
            <family val="2"/>
          </rPr>
          <t>Wyatt:</t>
        </r>
        <r>
          <rPr>
            <sz val="9"/>
            <color indexed="81"/>
            <rFont val="Tahoma"/>
            <family val="2"/>
          </rPr>
          <t xml:space="preserve">
Huge 50% drop on bad FDA news. Looking for a correction over the next few days / weeks to sell for 5 - 10% profit? </t>
        </r>
      </text>
    </comment>
    <comment ref="H51" authorId="0" shapeId="0" xr:uid="{A8E3486D-79D9-498E-A11E-2C91808BBD51}">
      <text>
        <r>
          <rPr>
            <b/>
            <sz val="9"/>
            <color indexed="81"/>
            <rFont val="Tahoma"/>
            <family val="2"/>
          </rPr>
          <t>Wyatt:</t>
        </r>
        <r>
          <rPr>
            <sz val="9"/>
            <color indexed="81"/>
            <rFont val="Tahoma"/>
            <family val="2"/>
          </rPr>
          <t xml:space="preserve">
Stock was not moving the way I thought it ought to. Exiting for a loss to recoup some BP. </t>
        </r>
      </text>
    </comment>
    <comment ref="A52" authorId="0" shapeId="0" xr:uid="{AA8C6C2F-CE0A-4F4A-B077-C2E285D6219D}">
      <text>
        <r>
          <rPr>
            <b/>
            <sz val="9"/>
            <color indexed="81"/>
            <rFont val="Tahoma"/>
            <family val="2"/>
          </rPr>
          <t>Wyatt:</t>
        </r>
        <r>
          <rPr>
            <sz val="9"/>
            <color indexed="81"/>
            <rFont val="Tahoma"/>
            <family val="2"/>
          </rPr>
          <t xml:space="preserve">
IVR of 80, no earnings coming up. Stock is heavily oversold (-50% in the last month or so) hoping to see IV contraction and some upward movement in the coming weeks for a 50% ROC</t>
        </r>
      </text>
    </comment>
    <comment ref="H52" authorId="0" shapeId="0" xr:uid="{DFE23444-C74B-45B5-B824-7258FE97FB66}">
      <text>
        <r>
          <rPr>
            <b/>
            <sz val="9"/>
            <color indexed="81"/>
            <rFont val="Tahoma"/>
            <family val="2"/>
          </rPr>
          <t>Wyatt:</t>
        </r>
        <r>
          <rPr>
            <sz val="9"/>
            <color indexed="81"/>
            <rFont val="Tahoma"/>
            <family val="2"/>
          </rPr>
          <t xml:space="preserve">
Moved up and IV contracted as expected. Taking 17.9% ROR here, 50% of max credit.</t>
        </r>
      </text>
    </comment>
    <comment ref="A53" authorId="0" shapeId="0" xr:uid="{8031418B-67CB-47D9-B75E-FC7F7BADC869}">
      <text>
        <r>
          <rPr>
            <b/>
            <sz val="9"/>
            <color indexed="81"/>
            <rFont val="Tahoma"/>
            <family val="2"/>
          </rPr>
          <t>Wyatt:</t>
        </r>
        <r>
          <rPr>
            <sz val="9"/>
            <color indexed="81"/>
            <rFont val="Tahoma"/>
            <family val="2"/>
          </rPr>
          <t xml:space="preserve">
IVR is at 2.5. Looking for volatility expansion over the coming days and slight upward movement. </t>
        </r>
      </text>
    </comment>
    <comment ref="E53" authorId="0" shapeId="0" xr:uid="{5AC9A18C-45B3-4F6B-997F-692F7F5F6F0B}">
      <text>
        <r>
          <rPr>
            <b/>
            <sz val="9"/>
            <color indexed="81"/>
            <rFont val="Tahoma"/>
            <family val="2"/>
          </rPr>
          <t>Wyatt:</t>
        </r>
        <r>
          <rPr>
            <sz val="9"/>
            <color indexed="81"/>
            <rFont val="Tahoma"/>
            <family val="2"/>
          </rPr>
          <t xml:space="preserve">
Stock hasn't gone against me, going to take profits on the short leg and roll it into a debit spread. </t>
        </r>
      </text>
    </comment>
    <comment ref="H53" authorId="0" shapeId="0" xr:uid="{E5FC4973-C656-40CA-A875-CEE15EE50E02}">
      <text>
        <r>
          <rPr>
            <b/>
            <sz val="9"/>
            <color indexed="81"/>
            <rFont val="Tahoma"/>
            <family val="2"/>
          </rPr>
          <t>Wyatt:</t>
        </r>
        <r>
          <rPr>
            <sz val="9"/>
            <color indexed="81"/>
            <rFont val="Tahoma"/>
            <family val="2"/>
          </rPr>
          <t xml:space="preserve">
Stock finally moved up, exiting for a scratch. </t>
        </r>
      </text>
    </comment>
    <comment ref="A54" authorId="0" shapeId="0" xr:uid="{E5418B44-44F3-4296-B5CD-F926FDF626EF}">
      <text>
        <r>
          <rPr>
            <b/>
            <sz val="9"/>
            <color indexed="81"/>
            <rFont val="Tahoma"/>
            <family val="2"/>
          </rPr>
          <t>Wyatt:</t>
        </r>
        <r>
          <rPr>
            <sz val="9"/>
            <color indexed="81"/>
            <rFont val="Tahoma"/>
            <family val="2"/>
          </rPr>
          <t xml:space="preserve">
Big move downward plus IV expansion following bad earnings report. Looking for IV contraction and upside correction in the following weeks.</t>
        </r>
      </text>
    </comment>
    <comment ref="E54" authorId="0" shapeId="0" xr:uid="{2E6A3633-DE61-42FD-AB59-20E0D2EF1542}">
      <text>
        <r>
          <rPr>
            <b/>
            <sz val="9"/>
            <color indexed="81"/>
            <rFont val="Tahoma"/>
            <family val="2"/>
          </rPr>
          <t>Wyatt:</t>
        </r>
        <r>
          <rPr>
            <sz val="9"/>
            <color indexed="81"/>
            <rFont val="Tahoma"/>
            <family val="2"/>
          </rPr>
          <t xml:space="preserve">
Big upward move on PLUG today after being down below my long leg. Making this trade into an IC in order to reduce max loss and delta.Collected .90c credit, making the new IC worth 3.95cr</t>
        </r>
      </text>
    </comment>
    <comment ref="H54" authorId="0" shapeId="0" xr:uid="{EAAB006A-6AAC-41C7-B3FC-868A8C71B794}">
      <text>
        <r>
          <rPr>
            <b/>
            <sz val="9"/>
            <color indexed="81"/>
            <rFont val="Tahoma"/>
            <family val="2"/>
          </rPr>
          <t>Wyatt:</t>
        </r>
        <r>
          <rPr>
            <sz val="9"/>
            <color indexed="81"/>
            <rFont val="Tahoma"/>
            <family val="2"/>
          </rPr>
          <t xml:space="preserve">
Assigned. Over managed this position way too much, should've been smart and collected profits when I had them.</t>
        </r>
      </text>
    </comment>
    <comment ref="A55" authorId="0" shapeId="0" xr:uid="{94D8C472-D2F2-4528-B0DC-73C5D330FD7D}">
      <text>
        <r>
          <rPr>
            <b/>
            <sz val="9"/>
            <color indexed="81"/>
            <rFont val="Tahoma"/>
            <family val="2"/>
          </rPr>
          <t>Wyatt:</t>
        </r>
        <r>
          <rPr>
            <sz val="9"/>
            <color indexed="81"/>
            <rFont val="Tahoma"/>
            <family val="2"/>
          </rPr>
          <t xml:space="preserve">
High IVR, mid-range Bollinger… sure lets do it.</t>
        </r>
      </text>
    </comment>
    <comment ref="H55" authorId="0" shapeId="0" xr:uid="{765792FF-8D7E-4186-ABF2-3B695E008F61}">
      <text>
        <r>
          <rPr>
            <b/>
            <sz val="9"/>
            <color indexed="81"/>
            <rFont val="Tahoma"/>
            <family val="2"/>
          </rPr>
          <t>Wyatt:</t>
        </r>
        <r>
          <rPr>
            <sz val="9"/>
            <color indexed="81"/>
            <rFont val="Tahoma"/>
            <family val="2"/>
          </rPr>
          <t xml:space="preserve">
Filling at around 15% ROR. Take profits and run</t>
        </r>
      </text>
    </comment>
    <comment ref="A56" authorId="0" shapeId="0" xr:uid="{356474CB-5B2E-4461-AB5A-9E539C9CE72C}">
      <text>
        <r>
          <rPr>
            <b/>
            <sz val="9"/>
            <color indexed="81"/>
            <rFont val="Tahoma"/>
            <family val="2"/>
          </rPr>
          <t>Wyatt:</t>
        </r>
        <r>
          <rPr>
            <sz val="9"/>
            <color indexed="81"/>
            <rFont val="Tahoma"/>
            <family val="2"/>
          </rPr>
          <t xml:space="preserve">
Experimenting with zerioing out the beta weighted delta. </t>
        </r>
      </text>
    </comment>
    <comment ref="H56" authorId="0" shapeId="0" xr:uid="{0F2EA1BA-A187-4B45-9583-AEB0944813CF}">
      <text>
        <r>
          <rPr>
            <b/>
            <sz val="9"/>
            <color indexed="81"/>
            <rFont val="Tahoma"/>
            <family val="2"/>
          </rPr>
          <t>Wyatt:</t>
        </r>
        <r>
          <rPr>
            <sz val="9"/>
            <color indexed="81"/>
            <rFont val="Tahoma"/>
            <family val="2"/>
          </rPr>
          <t xml:space="preserve">
Experiment failed.</t>
        </r>
      </text>
    </comment>
    <comment ref="A57" authorId="0" shapeId="0" xr:uid="{ABA744D3-8D86-49B8-9F53-54ACABEC4976}">
      <text>
        <r>
          <rPr>
            <b/>
            <sz val="9"/>
            <color indexed="81"/>
            <rFont val="Tahoma"/>
            <family val="2"/>
          </rPr>
          <t>Wyatt:</t>
        </r>
        <r>
          <rPr>
            <sz val="9"/>
            <color indexed="81"/>
            <rFont val="Tahoma"/>
            <family val="2"/>
          </rPr>
          <t xml:space="preserve">
IVR mountain peak, beaten down stock past lower bollinger. Going for it</t>
        </r>
      </text>
    </comment>
    <comment ref="H57" authorId="0" shapeId="0" xr:uid="{69F12FC3-031D-41CE-A8F5-2888CF709F34}">
      <text>
        <r>
          <rPr>
            <b/>
            <sz val="9"/>
            <color indexed="81"/>
            <rFont val="Tahoma"/>
            <family val="2"/>
          </rPr>
          <t>Wyatt:</t>
        </r>
        <r>
          <rPr>
            <sz val="9"/>
            <color indexed="81"/>
            <rFont val="Tahoma"/>
            <family val="2"/>
          </rPr>
          <t xml:space="preserve">
Panned out perfectly. </t>
        </r>
      </text>
    </comment>
    <comment ref="A58" authorId="0" shapeId="0" xr:uid="{938702DC-74E0-4239-B07E-77428C95E6D0}">
      <text>
        <r>
          <rPr>
            <b/>
            <sz val="9"/>
            <color indexed="81"/>
            <rFont val="Tahoma"/>
            <family val="2"/>
          </rPr>
          <t>Wyatt:</t>
        </r>
        <r>
          <rPr>
            <sz val="9"/>
            <color indexed="81"/>
            <rFont val="Tahoma"/>
            <family val="2"/>
          </rPr>
          <t xml:space="preserve">
High IVR, past lower bollinger</t>
        </r>
      </text>
    </comment>
    <comment ref="H58" authorId="0" shapeId="0" xr:uid="{81C3D0C3-7A34-4BA2-8C25-3AF54ABE232F}">
      <text>
        <r>
          <rPr>
            <b/>
            <sz val="9"/>
            <color indexed="81"/>
            <rFont val="Tahoma"/>
            <family val="2"/>
          </rPr>
          <t>Wyatt:</t>
        </r>
        <r>
          <rPr>
            <sz val="9"/>
            <color indexed="81"/>
            <rFont val="Tahoma"/>
            <family val="2"/>
          </rPr>
          <t xml:space="preserve">
As expected. </t>
        </r>
      </text>
    </comment>
    <comment ref="A59" authorId="0" shapeId="0" xr:uid="{F4B3BA60-478A-4D39-8DEF-26DDC66453AD}">
      <text>
        <r>
          <rPr>
            <b/>
            <sz val="9"/>
            <color indexed="81"/>
            <rFont val="Tahoma"/>
            <family val="2"/>
          </rPr>
          <t>Wyatt:</t>
        </r>
        <r>
          <rPr>
            <sz val="9"/>
            <color indexed="81"/>
            <rFont val="Tahoma"/>
            <family val="2"/>
          </rPr>
          <t xml:space="preserve">
Recovery stock, very confident in it coming back up. Looking to see it come back up to pre-covid levels.</t>
        </r>
      </text>
    </comment>
    <comment ref="E59" authorId="0" shapeId="0" xr:uid="{8B1C8A1F-8BA6-485D-9919-55D15249FF80}">
      <text>
        <r>
          <rPr>
            <b/>
            <sz val="9"/>
            <color indexed="81"/>
            <rFont val="Tahoma"/>
            <family val="2"/>
          </rPr>
          <t>Wyatt:</t>
        </r>
        <r>
          <rPr>
            <sz val="9"/>
            <color indexed="81"/>
            <rFont val="Tahoma"/>
            <family val="2"/>
          </rPr>
          <t xml:space="preserve">
Went against me hard, rolling down the short leg into a calendar spread for more theta decay. 
//
Came back up, and then went down. Rolling into debit spread to get more directional and wait for bounce.</t>
        </r>
      </text>
    </comment>
    <comment ref="H59" authorId="0" shapeId="0" xr:uid="{7C76321B-524E-4112-AA25-D16814D1695A}">
      <text>
        <r>
          <rPr>
            <b/>
            <sz val="9"/>
            <color indexed="81"/>
            <rFont val="Tahoma"/>
            <family val="2"/>
          </rPr>
          <t>Wyatt:</t>
        </r>
        <r>
          <rPr>
            <sz val="9"/>
            <color indexed="81"/>
            <rFont val="Tahoma"/>
            <family val="2"/>
          </rPr>
          <t xml:space="preserve">
I tried to predit price movement way too much. Over managed the position and suffered the consequences.</t>
        </r>
      </text>
    </comment>
    <comment ref="A60" authorId="0" shapeId="0" xr:uid="{2F036D0B-CA11-493B-8307-0DC5272B2FE5}">
      <text>
        <r>
          <rPr>
            <b/>
            <sz val="9"/>
            <color indexed="81"/>
            <rFont val="Tahoma"/>
            <family val="2"/>
          </rPr>
          <t>Wyatt:</t>
        </r>
        <r>
          <rPr>
            <sz val="9"/>
            <color indexed="81"/>
            <rFont val="Tahoma"/>
            <family val="2"/>
          </rPr>
          <t xml:space="preserve">
overextended. Past 80 RSI, gonna hold over the weekend and sell whether I am right or not</t>
        </r>
      </text>
    </comment>
    <comment ref="H60" authorId="0" shapeId="0" xr:uid="{05EF0D8B-70D0-468C-9634-A40B8ABCBC9B}">
      <text>
        <r>
          <rPr>
            <b/>
            <sz val="9"/>
            <color indexed="81"/>
            <rFont val="Tahoma"/>
            <family val="2"/>
          </rPr>
          <t>Wyatt:</t>
        </r>
        <r>
          <rPr>
            <sz val="9"/>
            <color indexed="81"/>
            <rFont val="Tahoma"/>
            <family val="2"/>
          </rPr>
          <t xml:space="preserve">
I was right, but only slightly. Basically a scratch. </t>
        </r>
      </text>
    </comment>
    <comment ref="A61" authorId="0" shapeId="0" xr:uid="{A3A2024C-E0E3-403E-AA2D-13AC8F1583C0}">
      <text>
        <r>
          <rPr>
            <b/>
            <sz val="9"/>
            <color indexed="81"/>
            <rFont val="Tahoma"/>
            <family val="2"/>
          </rPr>
          <t>Wyatt:</t>
        </r>
        <r>
          <rPr>
            <sz val="9"/>
            <color indexed="81"/>
            <rFont val="Tahoma"/>
            <family val="2"/>
          </rPr>
          <t xml:space="preserve">
high IVR, low stock</t>
        </r>
      </text>
    </comment>
    <comment ref="H61" authorId="0" shapeId="0" xr:uid="{56946685-75B5-456E-9C0A-CD2494BF183C}">
      <text>
        <r>
          <rPr>
            <b/>
            <sz val="9"/>
            <color indexed="81"/>
            <rFont val="Tahoma"/>
            <family val="2"/>
          </rPr>
          <t>Wyatt:</t>
        </r>
        <r>
          <rPr>
            <sz val="9"/>
            <color indexed="81"/>
            <rFont val="Tahoma"/>
            <family val="2"/>
          </rPr>
          <t xml:space="preserve">
as expected.</t>
        </r>
      </text>
    </comment>
    <comment ref="A62" authorId="0" shapeId="0" xr:uid="{57D221F9-217F-4D8D-9B68-C742976CBBE5}">
      <text>
        <r>
          <rPr>
            <b/>
            <sz val="9"/>
            <color indexed="81"/>
            <rFont val="Tahoma"/>
            <family val="2"/>
          </rPr>
          <t>Wyatt:</t>
        </r>
        <r>
          <rPr>
            <sz val="9"/>
            <color indexed="81"/>
            <rFont val="Tahoma"/>
            <family val="2"/>
          </rPr>
          <t xml:space="preserve">
High IVR, below lower bollinger</t>
        </r>
      </text>
    </comment>
    <comment ref="H62" authorId="0" shapeId="0" xr:uid="{73E0E501-8867-45C4-8D26-DED90D36394B}">
      <text>
        <r>
          <rPr>
            <b/>
            <sz val="9"/>
            <color indexed="81"/>
            <rFont val="Tahoma"/>
            <family val="2"/>
          </rPr>
          <t>Wyatt:</t>
        </r>
        <r>
          <rPr>
            <sz val="9"/>
            <color indexed="81"/>
            <rFont val="Tahoma"/>
            <family val="2"/>
          </rPr>
          <t xml:space="preserve">
Bounced as expected. </t>
        </r>
      </text>
    </comment>
    <comment ref="A63" authorId="0" shapeId="0" xr:uid="{4DE215D0-5B27-4DF7-9F7B-982C3B3F9EF7}">
      <text>
        <r>
          <rPr>
            <b/>
            <sz val="9"/>
            <color indexed="81"/>
            <rFont val="Tahoma"/>
            <family val="2"/>
          </rPr>
          <t>Wyatt:</t>
        </r>
        <r>
          <rPr>
            <sz val="9"/>
            <color indexed="81"/>
            <rFont val="Tahoma"/>
            <family val="2"/>
          </rPr>
          <t xml:space="preserve">
High IVR, beaten down and past lower bollinger. Go put credit spread</t>
        </r>
      </text>
    </comment>
    <comment ref="H63" authorId="0" shapeId="0" xr:uid="{B90ED846-0CAF-4EAD-BEAE-C065FD478939}">
      <text>
        <r>
          <rPr>
            <b/>
            <sz val="9"/>
            <color indexed="81"/>
            <rFont val="Tahoma"/>
            <family val="2"/>
          </rPr>
          <t>Wyatt:</t>
        </r>
        <r>
          <rPr>
            <sz val="9"/>
            <color indexed="81"/>
            <rFont val="Tahoma"/>
            <family val="2"/>
          </rPr>
          <t xml:space="preserve">
Worked out perfectly. </t>
        </r>
      </text>
    </comment>
    <comment ref="A64" authorId="0" shapeId="0" xr:uid="{8855E104-C7D2-4C61-85D2-77EF01B9FF17}">
      <text>
        <r>
          <rPr>
            <b/>
            <sz val="9"/>
            <color indexed="81"/>
            <rFont val="Tahoma"/>
            <family val="2"/>
          </rPr>
          <t xml:space="preserve">Note
</t>
        </r>
        <r>
          <rPr>
            <sz val="9"/>
            <color indexed="81"/>
            <rFont val="Tahoma"/>
            <family val="2"/>
          </rPr>
          <t>I think wsb is gonna rip on this stock. Too much of a pussy to strangle, iron condor instead.</t>
        </r>
      </text>
    </comment>
    <comment ref="H64" authorId="0" shapeId="0" xr:uid="{161FB761-A525-4E0F-A533-5D75FBF59615}">
      <text>
        <r>
          <rPr>
            <b/>
            <sz val="9"/>
            <color indexed="81"/>
            <rFont val="Tahoma"/>
            <family val="2"/>
          </rPr>
          <t>Wyatt:</t>
        </r>
        <r>
          <rPr>
            <sz val="9"/>
            <color indexed="81"/>
            <rFont val="Tahoma"/>
            <family val="2"/>
          </rPr>
          <t xml:space="preserve">
Should've gone strangle. Spread killed what would've been an insane win. smh</t>
        </r>
      </text>
    </comment>
    <comment ref="A65" authorId="0" shapeId="0" xr:uid="{7F9D8CB8-4641-4B42-B2E1-31959A3EC23E}">
      <text>
        <r>
          <rPr>
            <b/>
            <sz val="9"/>
            <color indexed="81"/>
            <rFont val="Tahoma"/>
            <family val="2"/>
          </rPr>
          <t>Wyatt:</t>
        </r>
        <r>
          <rPr>
            <sz val="9"/>
            <color indexed="81"/>
            <rFont val="Tahoma"/>
            <family val="2"/>
          </rPr>
          <t xml:space="preserve">
High IVR and mid range bollinger, sure </t>
        </r>
      </text>
    </comment>
    <comment ref="E65" authorId="0" shapeId="0" xr:uid="{121B03AC-8037-4196-B8B4-7D89CB901512}">
      <text>
        <r>
          <rPr>
            <b/>
            <sz val="9"/>
            <color indexed="81"/>
            <rFont val="Tahoma"/>
            <family val="2"/>
          </rPr>
          <t>Wyatt:</t>
        </r>
        <r>
          <rPr>
            <sz val="9"/>
            <color indexed="81"/>
            <rFont val="Tahoma"/>
            <family val="2"/>
          </rPr>
          <t xml:space="preserve">
Rolling up untested side for a credit of .31</t>
        </r>
      </text>
    </comment>
    <comment ref="H65" authorId="0" shapeId="0" xr:uid="{9EE4E79E-1676-4220-AC83-2EB724461AAC}">
      <text>
        <r>
          <rPr>
            <b/>
            <sz val="9"/>
            <color indexed="81"/>
            <rFont val="Tahoma"/>
            <family val="2"/>
          </rPr>
          <t>Wyatt:</t>
        </r>
        <r>
          <rPr>
            <sz val="9"/>
            <color indexed="81"/>
            <rFont val="Tahoma"/>
            <family val="2"/>
          </rPr>
          <t xml:space="preserve">
No longer confident with this stock staying within the range, exiting for slight profit. </t>
        </r>
      </text>
    </comment>
    <comment ref="A66" authorId="0" shapeId="0" xr:uid="{F2159530-9A67-4479-9644-347D43622EB6}">
      <text>
        <r>
          <rPr>
            <b/>
            <sz val="9"/>
            <color indexed="81"/>
            <rFont val="Tahoma"/>
            <family val="2"/>
          </rPr>
          <t>Wyatt:</t>
        </r>
        <r>
          <rPr>
            <sz val="9"/>
            <color indexed="81"/>
            <rFont val="Tahoma"/>
            <family val="2"/>
          </rPr>
          <t xml:space="preserve">
High IVR, past lower bollinger</t>
        </r>
      </text>
    </comment>
    <comment ref="H66" authorId="0" shapeId="0" xr:uid="{F6655908-77DF-46C3-A2AE-BBEC460549E0}">
      <text>
        <r>
          <rPr>
            <b/>
            <sz val="9"/>
            <color indexed="81"/>
            <rFont val="Tahoma"/>
            <family val="2"/>
          </rPr>
          <t>Wyatt:</t>
        </r>
        <r>
          <rPr>
            <sz val="9"/>
            <color indexed="81"/>
            <rFont val="Tahoma"/>
            <family val="2"/>
          </rPr>
          <t xml:space="preserve">
as expected. Getting out with 40% ROR</t>
        </r>
      </text>
    </comment>
    <comment ref="A67" authorId="0" shapeId="0" xr:uid="{DB2B4507-B777-45CC-91BA-6EA32DDE1831}">
      <text>
        <r>
          <rPr>
            <b/>
            <sz val="9"/>
            <color indexed="81"/>
            <rFont val="Tahoma"/>
            <family val="2"/>
          </rPr>
          <t>Wyatt:</t>
        </r>
        <r>
          <rPr>
            <sz val="9"/>
            <color indexed="81"/>
            <rFont val="Tahoma"/>
            <family val="2"/>
          </rPr>
          <t xml:space="preserve">
WSB might rip, too pussy to strangle tho. Iron condor</t>
        </r>
      </text>
    </comment>
    <comment ref="A68" authorId="0" shapeId="0" xr:uid="{1CD01D33-7F7E-498A-BA27-6B2994604075}">
      <text>
        <r>
          <rPr>
            <b/>
            <sz val="9"/>
            <color indexed="81"/>
            <rFont val="Tahoma"/>
            <family val="2"/>
          </rPr>
          <t>Wyatt:</t>
        </r>
        <r>
          <rPr>
            <sz val="9"/>
            <color indexed="81"/>
            <rFont val="Tahoma"/>
            <family val="2"/>
          </rPr>
          <t xml:space="preserve">
ITM call credit spread. Looking for AMC to drop… hard. </t>
        </r>
      </text>
    </comment>
    <comment ref="H68" authorId="0" shapeId="0" xr:uid="{436F850D-85A5-4A51-B837-7A6E66FA610F}">
      <text>
        <r>
          <rPr>
            <b/>
            <sz val="9"/>
            <color indexed="81"/>
            <rFont val="Tahoma"/>
            <family val="2"/>
          </rPr>
          <t>Wyatt:</t>
        </r>
        <r>
          <rPr>
            <sz val="9"/>
            <color indexed="81"/>
            <rFont val="Tahoma"/>
            <family val="2"/>
          </rPr>
          <t xml:space="preserve">
stupid meme stocks
</t>
        </r>
      </text>
    </comment>
    <comment ref="A69" authorId="0" shapeId="0" xr:uid="{4E41B300-546E-4311-9098-A7A4B08A3640}">
      <text>
        <r>
          <rPr>
            <b/>
            <sz val="9"/>
            <color indexed="81"/>
            <rFont val="Tahoma"/>
            <family val="2"/>
          </rPr>
          <t>Wyatt:</t>
        </r>
        <r>
          <rPr>
            <sz val="9"/>
            <color indexed="81"/>
            <rFont val="Tahoma"/>
            <family val="2"/>
          </rPr>
          <t xml:space="preserve">
Looking for slight pull back and short option to decay very quickly. Looking for 5% ROI</t>
        </r>
      </text>
    </comment>
    <comment ref="H69" authorId="0" shapeId="0" xr:uid="{E2138AD8-57B6-49DD-9916-7E2FF797FDA9}">
      <text>
        <r>
          <rPr>
            <b/>
            <sz val="9"/>
            <color indexed="81"/>
            <rFont val="Tahoma"/>
            <family val="2"/>
          </rPr>
          <t>Wyatt:</t>
        </r>
        <r>
          <rPr>
            <sz val="9"/>
            <color indexed="81"/>
            <rFont val="Tahoma"/>
            <family val="2"/>
          </rPr>
          <t xml:space="preserve">
Did exactly as planned, stayed in the same price range for a while, IV went up and theta decay stepped in </t>
        </r>
      </text>
    </comment>
    <comment ref="A70" authorId="0" shapeId="0" xr:uid="{1B757121-13B5-4857-86BF-963810525AC4}">
      <text>
        <r>
          <rPr>
            <b/>
            <sz val="9"/>
            <color indexed="81"/>
            <rFont val="Tahoma"/>
            <family val="2"/>
          </rPr>
          <t>Wyatt:</t>
        </r>
        <r>
          <rPr>
            <sz val="9"/>
            <color indexed="81"/>
            <rFont val="Tahoma"/>
            <family val="2"/>
          </rPr>
          <t xml:space="preserve">
Idea on tastytrade, gonna see how it pans out</t>
        </r>
      </text>
    </comment>
    <comment ref="H70" authorId="0" shapeId="0" xr:uid="{4EE4D83F-B686-441A-9F8D-231D0C977E3E}">
      <text>
        <r>
          <rPr>
            <b/>
            <sz val="9"/>
            <color indexed="81"/>
            <rFont val="Tahoma"/>
            <family val="2"/>
          </rPr>
          <t>Wyatt:</t>
        </r>
        <r>
          <rPr>
            <sz val="9"/>
            <color indexed="81"/>
            <rFont val="Tahoma"/>
            <family val="2"/>
          </rPr>
          <t xml:space="preserve">
Didn't pan out well</t>
        </r>
      </text>
    </comment>
    <comment ref="A71" authorId="0" shapeId="0" xr:uid="{27626D13-327A-4B04-942D-B87A7FCA752D}">
      <text>
        <r>
          <rPr>
            <b/>
            <sz val="9"/>
            <color indexed="81"/>
            <rFont val="Tahoma"/>
            <family val="2"/>
          </rPr>
          <t>Wyatt:</t>
        </r>
        <r>
          <rPr>
            <sz val="9"/>
            <color indexed="81"/>
            <rFont val="Tahoma"/>
            <family val="2"/>
          </rPr>
          <t xml:space="preserve">
Looking for NCLH to come up to mid-bollinger band, currently down-trodden. Lets see some directional move and aim for 10% of debit</t>
        </r>
      </text>
    </comment>
    <comment ref="H71" authorId="0" shapeId="0" xr:uid="{2B59A60E-709E-49DA-9D18-CDCEE7C3C490}">
      <text>
        <r>
          <rPr>
            <b/>
            <sz val="9"/>
            <color indexed="81"/>
            <rFont val="Tahoma"/>
            <family val="2"/>
          </rPr>
          <t>Wyatt:</t>
        </r>
        <r>
          <rPr>
            <sz val="9"/>
            <color indexed="81"/>
            <rFont val="Tahoma"/>
            <family val="2"/>
          </rPr>
          <t xml:space="preserve">
Exiting for good gain</t>
        </r>
      </text>
    </comment>
    <comment ref="A72" authorId="0" shapeId="0" xr:uid="{914B3B51-C9EB-490A-A8B0-8D58E73C11C6}">
      <text>
        <r>
          <rPr>
            <b/>
            <sz val="9"/>
            <color indexed="81"/>
            <rFont val="Tahoma"/>
            <family val="2"/>
          </rPr>
          <t>Wyatt:</t>
        </r>
        <r>
          <rPr>
            <sz val="9"/>
            <color indexed="81"/>
            <rFont val="Tahoma"/>
            <family val="2"/>
          </rPr>
          <t xml:space="preserve">
Not really sure why I went so far out in time, but it's very low right now, it hovered at 10 for a long time prepandemic, lets see if it will maintain above 10 for a long enough time that I can collect 50% of credit on this</t>
        </r>
      </text>
    </comment>
    <comment ref="H72" authorId="0" shapeId="0" xr:uid="{EB8651CA-C989-476F-A170-601E6DC94BA1}">
      <text>
        <r>
          <rPr>
            <b/>
            <sz val="9"/>
            <color indexed="81"/>
            <rFont val="Tahoma"/>
            <family val="2"/>
          </rPr>
          <t>Wyatt:</t>
        </r>
        <r>
          <rPr>
            <sz val="9"/>
            <color indexed="81"/>
            <rFont val="Tahoma"/>
            <family val="2"/>
          </rPr>
          <t xml:space="preserve">
DOJ to start investigating, get out now at scratch</t>
        </r>
      </text>
    </comment>
    <comment ref="A73" authorId="0" shapeId="0" xr:uid="{F65525BE-D6E7-469E-B447-94FB5603917B}">
      <text>
        <r>
          <rPr>
            <b/>
            <sz val="9"/>
            <color indexed="81"/>
            <rFont val="Tahoma"/>
            <family val="2"/>
          </rPr>
          <t>Wyatt:</t>
        </r>
        <r>
          <rPr>
            <sz val="9"/>
            <color indexed="81"/>
            <rFont val="Tahoma"/>
            <family val="2"/>
          </rPr>
          <t xml:space="preserve">
Far below lower bollinger, rising IVR of around 50. Earnings coming up on the 22nd so will try to exit beforehand, shooting for 30-50% max credit</t>
        </r>
      </text>
    </comment>
    <comment ref="H73" authorId="0" shapeId="0" xr:uid="{C3478543-4C82-44EF-8338-E1C4D7461D01}">
      <text>
        <r>
          <rPr>
            <b/>
            <sz val="9"/>
            <color indexed="81"/>
            <rFont val="Tahoma"/>
            <family val="2"/>
          </rPr>
          <t>Wyatt:</t>
        </r>
        <r>
          <rPr>
            <sz val="9"/>
            <color indexed="81"/>
            <rFont val="Tahoma"/>
            <family val="2"/>
          </rPr>
          <t xml:space="preserve">
Panned out as hoped, exiting for 33% ROI</t>
        </r>
      </text>
    </comment>
    <comment ref="A74" authorId="0" shapeId="0" xr:uid="{BEDE200C-B97D-48F8-8AE2-93288675605C}">
      <text>
        <r>
          <rPr>
            <b/>
            <sz val="9"/>
            <color indexed="81"/>
            <rFont val="Tahoma"/>
            <family val="2"/>
          </rPr>
          <t>Wyatt:</t>
        </r>
        <r>
          <rPr>
            <sz val="9"/>
            <color indexed="81"/>
            <rFont val="Tahoma"/>
            <family val="2"/>
          </rPr>
          <t xml:space="preserve">
High IVR and toucing lower bollinger band, lets get it</t>
        </r>
      </text>
    </comment>
    <comment ref="H74" authorId="0" shapeId="0" xr:uid="{B97D1696-CC0F-4025-A6B4-C4F553FE61FA}">
      <text>
        <r>
          <rPr>
            <b/>
            <sz val="9"/>
            <color indexed="81"/>
            <rFont val="Tahoma"/>
            <family val="2"/>
          </rPr>
          <t>Wyatt:</t>
        </r>
        <r>
          <rPr>
            <sz val="9"/>
            <color indexed="81"/>
            <rFont val="Tahoma"/>
            <family val="2"/>
          </rPr>
          <t xml:space="preserve">
Exiting for a scratch, don't trust the price movement anymore.. Should've taken profits earlier</t>
        </r>
      </text>
    </comment>
    <comment ref="A75" authorId="0" shapeId="0" xr:uid="{F3FCC564-18F4-4188-A74A-DC9656AF2936}">
      <text>
        <r>
          <rPr>
            <b/>
            <sz val="9"/>
            <color indexed="81"/>
            <rFont val="Tahoma"/>
            <family val="2"/>
          </rPr>
          <t>Wyatt:</t>
        </r>
        <r>
          <rPr>
            <sz val="9"/>
            <color indexed="81"/>
            <rFont val="Tahoma"/>
            <family val="2"/>
          </rPr>
          <t xml:space="preserve">
Earnings on the 30th, looking for IV expansion and some upward movement. GTC order at 10% of debit</t>
        </r>
      </text>
    </comment>
    <comment ref="H75" authorId="0" shapeId="0" xr:uid="{E61355B2-4DBC-461D-8A56-9B73F3E1CD36}">
      <text>
        <r>
          <rPr>
            <b/>
            <sz val="9"/>
            <color indexed="81"/>
            <rFont val="Tahoma"/>
            <family val="2"/>
          </rPr>
          <t>Wyatt:</t>
        </r>
        <r>
          <rPr>
            <sz val="9"/>
            <color indexed="81"/>
            <rFont val="Tahoma"/>
            <family val="2"/>
          </rPr>
          <t xml:space="preserve">
Worked out as planned.</t>
        </r>
      </text>
    </comment>
    <comment ref="A76" authorId="0" shapeId="0" xr:uid="{FCAB3B45-85A3-40C5-8338-3ADA5145A4F6}">
      <text>
        <r>
          <rPr>
            <b/>
            <sz val="9"/>
            <color indexed="81"/>
            <rFont val="Tahoma"/>
            <family val="2"/>
          </rPr>
          <t>Wyatt:</t>
        </r>
        <r>
          <rPr>
            <sz val="9"/>
            <color indexed="81"/>
            <rFont val="Tahoma"/>
            <family val="2"/>
          </rPr>
          <t xml:space="preserve">
Big upmove after good earnings, looking for some downard movement / consolidation around the 75 level. Might be getting too cute here, we'll see, cutting this short if I see 10+% loss</t>
        </r>
      </text>
    </comment>
    <comment ref="H76" authorId="0" shapeId="0" xr:uid="{4975A88D-0A55-47EF-A5CE-8D32BB6BA2A0}">
      <text>
        <r>
          <rPr>
            <b/>
            <sz val="9"/>
            <color indexed="81"/>
            <rFont val="Tahoma"/>
            <family val="2"/>
          </rPr>
          <t>Wyatt:</t>
        </r>
        <r>
          <rPr>
            <sz val="9"/>
            <color indexed="81"/>
            <rFont val="Tahoma"/>
            <family val="2"/>
          </rPr>
          <t xml:space="preserve">
Worked out as planned.</t>
        </r>
      </text>
    </comment>
    <comment ref="A77" authorId="0" shapeId="0" xr:uid="{2E4B01D9-FB62-4964-9864-660C8320B324}">
      <text>
        <r>
          <rPr>
            <b/>
            <sz val="9"/>
            <color indexed="81"/>
            <rFont val="Tahoma"/>
            <family val="2"/>
          </rPr>
          <t>Wyatt:</t>
        </r>
        <r>
          <rPr>
            <sz val="9"/>
            <color indexed="81"/>
            <rFont val="Tahoma"/>
            <family val="2"/>
          </rPr>
          <t xml:space="preserve">
Decently high IVR, was eyeing this trade yesterday, then DR Data validated. Send it, look for 50% credit</t>
        </r>
      </text>
    </comment>
    <comment ref="E77" authorId="0" shapeId="0" xr:uid="{9717E2FA-A895-43ED-B661-5420644FE606}">
      <text>
        <r>
          <rPr>
            <b/>
            <sz val="9"/>
            <color indexed="81"/>
            <rFont val="Tahoma"/>
            <family val="2"/>
          </rPr>
          <t>Wyatt:</t>
        </r>
        <r>
          <rPr>
            <sz val="9"/>
            <color indexed="81"/>
            <rFont val="Tahoma"/>
            <family val="2"/>
          </rPr>
          <t xml:space="preserve">
INTC down to 52.5, rolling down the call spread. Idk if this was the right call...</t>
        </r>
      </text>
    </comment>
    <comment ref="H77" authorId="0" shapeId="0" xr:uid="{8793940B-5B16-44C5-9FC1-6DF13A405873}">
      <text>
        <r>
          <rPr>
            <b/>
            <sz val="9"/>
            <color indexed="81"/>
            <rFont val="Tahoma"/>
            <family val="2"/>
          </rPr>
          <t>Wyatt:</t>
        </r>
        <r>
          <rPr>
            <sz val="9"/>
            <color indexed="81"/>
            <rFont val="Tahoma"/>
            <family val="2"/>
          </rPr>
          <t xml:space="preserve">
Adjustment was bad… I think INTC is going to go back up and break the new call spread. Getting out now while still profitable. STOP unneccesarily adjusting!</t>
        </r>
      </text>
    </comment>
    <comment ref="A78" authorId="0" shapeId="0" xr:uid="{F46EF6DF-DFDF-4E8C-8405-8E74D6AE05A4}">
      <text>
        <r>
          <rPr>
            <b/>
            <sz val="9"/>
            <color indexed="81"/>
            <rFont val="Tahoma"/>
            <family val="2"/>
          </rPr>
          <t>Wyatt:</t>
        </r>
        <r>
          <rPr>
            <sz val="9"/>
            <color indexed="81"/>
            <rFont val="Tahoma"/>
            <family val="2"/>
          </rPr>
          <t xml:space="preserve">
New chinese regulation has pushed this baby down 78% in the last two days. Well below lower bollinger and insane IVR, lets get it</t>
        </r>
      </text>
    </comment>
    <comment ref="H78" authorId="0" shapeId="0" xr:uid="{0BEAA21E-8469-468D-A26D-F94A3A145F97}">
      <text>
        <r>
          <rPr>
            <b/>
            <sz val="9"/>
            <color indexed="81"/>
            <rFont val="Tahoma"/>
            <family val="2"/>
          </rPr>
          <t>Wyatt:</t>
        </r>
        <r>
          <rPr>
            <sz val="9"/>
            <color indexed="81"/>
            <rFont val="Tahoma"/>
            <family val="2"/>
          </rPr>
          <t xml:space="preserve">
worked out as planned!</t>
        </r>
      </text>
    </comment>
    <comment ref="A79" authorId="0" shapeId="0" xr:uid="{DD7B2530-0D9D-4F2D-AAB4-FADDC0D031E5}">
      <text>
        <r>
          <rPr>
            <b/>
            <sz val="9"/>
            <color indexed="81"/>
            <rFont val="Tahoma"/>
            <family val="2"/>
          </rPr>
          <t>Wyatt:</t>
        </r>
        <r>
          <rPr>
            <sz val="9"/>
            <color indexed="81"/>
            <rFont val="Tahoma"/>
            <family val="2"/>
          </rPr>
          <t xml:space="preserve">
Closing far above the upper band, relatively low IV… might've gotten too cute for this one but we'll see shooting for 10% ROI.</t>
        </r>
      </text>
    </comment>
    <comment ref="E79" authorId="0" shapeId="0" xr:uid="{B3D19347-730E-4306-AF53-1897ECCC4567}">
      <text>
        <r>
          <rPr>
            <b/>
            <sz val="9"/>
            <color indexed="81"/>
            <rFont val="Tahoma"/>
            <family val="2"/>
          </rPr>
          <t>Wyatt:</t>
        </r>
        <r>
          <rPr>
            <sz val="9"/>
            <color indexed="81"/>
            <rFont val="Tahoma"/>
            <family val="2"/>
          </rPr>
          <t xml:space="preserve">
Went against me hard, rolling short strike out in time </t>
        </r>
      </text>
    </comment>
    <comment ref="H79" authorId="0" shapeId="0" xr:uid="{39A81E7E-0B55-4D51-BAEE-83340C5B0D2A}">
      <text>
        <r>
          <rPr>
            <b/>
            <sz val="9"/>
            <color indexed="81"/>
            <rFont val="Tahoma"/>
            <family val="2"/>
          </rPr>
          <t>Wyatt:</t>
        </r>
        <r>
          <rPr>
            <sz val="9"/>
            <color indexed="81"/>
            <rFont val="Tahoma"/>
            <family val="2"/>
          </rPr>
          <t xml:space="preserve">
AMD had a great run which really screwed this up… however there were times when I could have exited for a better price. I think the adjustment was necessary though</t>
        </r>
      </text>
    </comment>
    <comment ref="A80" authorId="0" shapeId="0" xr:uid="{955437C1-4C48-456B-824F-23027F3AF395}">
      <text>
        <r>
          <rPr>
            <b/>
            <sz val="9"/>
            <color indexed="81"/>
            <rFont val="Tahoma"/>
            <family val="2"/>
          </rPr>
          <t>Wyatt:</t>
        </r>
        <r>
          <rPr>
            <sz val="9"/>
            <color indexed="81"/>
            <rFont val="Tahoma"/>
            <family val="2"/>
          </rPr>
          <t xml:space="preserve">
Opened below lower bollinger, IVR high 90s. Chinese stock… but cautiously optimistic</t>
        </r>
      </text>
    </comment>
    <comment ref="H80" authorId="0" shapeId="0" xr:uid="{760B2E6F-A174-4277-AE87-3FCBD7B83F1E}">
      <text>
        <r>
          <rPr>
            <b/>
            <sz val="9"/>
            <color indexed="81"/>
            <rFont val="Tahoma"/>
            <family val="2"/>
          </rPr>
          <t>Wyatt:</t>
        </r>
        <r>
          <rPr>
            <sz val="9"/>
            <color indexed="81"/>
            <rFont val="Tahoma"/>
            <family val="2"/>
          </rPr>
          <t xml:space="preserve">
13% ROI intraday, I'l take profits and cut out</t>
        </r>
      </text>
    </comment>
    <comment ref="A81" authorId="0" shapeId="0" xr:uid="{EAE51A70-A4D8-4DAE-8357-E930EE565048}">
      <text>
        <r>
          <rPr>
            <b/>
            <sz val="9"/>
            <color indexed="81"/>
            <rFont val="Tahoma"/>
            <family val="2"/>
          </rPr>
          <t>Wyatt:</t>
        </r>
        <r>
          <rPr>
            <sz val="9"/>
            <color indexed="81"/>
            <rFont val="Tahoma"/>
            <family val="2"/>
          </rPr>
          <t xml:space="preserve">
Opened under lower bollinger w IVR 32</t>
        </r>
      </text>
    </comment>
    <comment ref="H81" authorId="0" shapeId="0" xr:uid="{DA6940DA-C90E-4E4B-BFBA-1E93BCF3061A}">
      <text>
        <r>
          <rPr>
            <b/>
            <sz val="9"/>
            <color indexed="81"/>
            <rFont val="Tahoma"/>
            <family val="2"/>
          </rPr>
          <t>Wyatt:</t>
        </r>
        <r>
          <rPr>
            <sz val="9"/>
            <color indexed="81"/>
            <rFont val="Tahoma"/>
            <family val="2"/>
          </rPr>
          <t xml:space="preserve">
12% intraday, will take profits and cut</t>
        </r>
      </text>
    </comment>
    <comment ref="A83" authorId="0" shapeId="0" xr:uid="{08D2FD0D-6FEE-4E79-AF2C-5BC45E755F87}">
      <text>
        <r>
          <rPr>
            <b/>
            <sz val="9"/>
            <color indexed="81"/>
            <rFont val="Tahoma"/>
            <family val="2"/>
          </rPr>
          <t>Wyatt:</t>
        </r>
        <r>
          <rPr>
            <sz val="9"/>
            <color indexed="81"/>
            <rFont val="Tahoma"/>
            <family val="2"/>
          </rPr>
          <t xml:space="preserve">
Trying out new strategy. Low IVR, decent theta lets see what happens</t>
        </r>
      </text>
    </comment>
    <comment ref="A84" authorId="0" shapeId="0" xr:uid="{4DDBE2A2-69C1-4282-89B4-AF26D65A4368}">
      <text>
        <r>
          <rPr>
            <b/>
            <sz val="9"/>
            <color indexed="81"/>
            <rFont val="Tahoma"/>
            <family val="2"/>
          </rPr>
          <t>Wyatt:</t>
        </r>
        <r>
          <rPr>
            <sz val="9"/>
            <color indexed="81"/>
            <rFont val="Tahoma"/>
            <family val="2"/>
          </rPr>
          <t xml:space="preserve">
IVR in the 70s, mid range bollinger</t>
        </r>
      </text>
    </comment>
    <comment ref="A85" authorId="0" shapeId="0" xr:uid="{5CFA8CB0-5BDA-4A50-8B06-F39532536646}">
      <text>
        <r>
          <rPr>
            <b/>
            <sz val="9"/>
            <color indexed="81"/>
            <rFont val="Tahoma"/>
            <family val="2"/>
          </rPr>
          <t>Wyatt:</t>
        </r>
        <r>
          <rPr>
            <sz val="9"/>
            <color indexed="81"/>
            <rFont val="Tahoma"/>
            <family val="2"/>
          </rPr>
          <t xml:space="preserve">
midrange bollinger with IVR of 60, lets see what happens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1">
    <bk>
      <extLst>
        <ext uri="{3e2802c4-a4d2-4d8b-9148-e3be6c30e623}">
          <xlrd:rvb i="2"/>
        </ext>
      </extLst>
    </bk>
    <bk>
      <extLst>
        <ext uri="{3e2802c4-a4d2-4d8b-9148-e3be6c30e623}">
          <xlrd:rvb i="9"/>
        </ext>
      </extLst>
    </bk>
    <bk>
      <extLst>
        <ext uri="{3e2802c4-a4d2-4d8b-9148-e3be6c30e623}">
          <xlrd:rvb i="16"/>
        </ext>
      </extLst>
    </bk>
    <bk>
      <extLst>
        <ext uri="{3e2802c4-a4d2-4d8b-9148-e3be6c30e623}">
          <xlrd:rvb i="22"/>
        </ext>
      </extLst>
    </bk>
    <bk>
      <extLst>
        <ext uri="{3e2802c4-a4d2-4d8b-9148-e3be6c30e623}">
          <xlrd:rvb i="25"/>
        </ext>
      </extLst>
    </bk>
    <bk>
      <extLst>
        <ext uri="{3e2802c4-a4d2-4d8b-9148-e3be6c30e623}">
          <xlrd:rvb i="31"/>
        </ext>
      </extLst>
    </bk>
    <bk>
      <extLst>
        <ext uri="{3e2802c4-a4d2-4d8b-9148-e3be6c30e623}">
          <xlrd:rvb i="34"/>
        </ext>
      </extLst>
    </bk>
    <bk>
      <extLst>
        <ext uri="{3e2802c4-a4d2-4d8b-9148-e3be6c30e623}">
          <xlrd:rvb i="40"/>
        </ext>
      </extLst>
    </bk>
    <bk>
      <extLst>
        <ext uri="{3e2802c4-a4d2-4d8b-9148-e3be6c30e623}">
          <xlrd:rvb i="46"/>
        </ext>
      </extLst>
    </bk>
    <bk>
      <extLst>
        <ext uri="{3e2802c4-a4d2-4d8b-9148-e3be6c30e623}">
          <xlrd:rvb i="48"/>
        </ext>
      </extLst>
    </bk>
    <bk>
      <extLst>
        <ext uri="{3e2802c4-a4d2-4d8b-9148-e3be6c30e623}">
          <xlrd:rvb i="54"/>
        </ext>
      </extLst>
    </bk>
    <bk>
      <extLst>
        <ext uri="{3e2802c4-a4d2-4d8b-9148-e3be6c30e623}">
          <xlrd:rvb i="56"/>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9"/>
        </ext>
      </extLst>
    </bk>
    <bk>
      <extLst>
        <ext uri="{3e2802c4-a4d2-4d8b-9148-e3be6c30e623}">
          <xlrd:rvb i="75"/>
        </ext>
      </extLst>
    </bk>
    <bk>
      <extLst>
        <ext uri="{3e2802c4-a4d2-4d8b-9148-e3be6c30e623}">
          <xlrd:rvb i="81"/>
        </ext>
      </extLst>
    </bk>
    <bk>
      <extLst>
        <ext uri="{3e2802c4-a4d2-4d8b-9148-e3be6c30e623}">
          <xlrd:rvb i="83"/>
        </ext>
      </extLst>
    </bk>
    <bk>
      <extLst>
        <ext uri="{3e2802c4-a4d2-4d8b-9148-e3be6c30e623}">
          <xlrd:rvb i="85"/>
        </ext>
      </extLst>
    </bk>
    <bk>
      <extLst>
        <ext uri="{3e2802c4-a4d2-4d8b-9148-e3be6c30e623}">
          <xlrd:rvb i="88"/>
        </ext>
      </extLst>
    </bk>
    <bk>
      <extLst>
        <ext uri="{3e2802c4-a4d2-4d8b-9148-e3be6c30e623}">
          <xlrd:rvb i="94"/>
        </ext>
      </extLst>
    </bk>
    <bk>
      <extLst>
        <ext uri="{3e2802c4-a4d2-4d8b-9148-e3be6c30e623}">
          <xlrd:rvb i="100"/>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7"/>
        </ext>
      </extLst>
    </bk>
    <bk>
      <extLst>
        <ext uri="{3e2802c4-a4d2-4d8b-9148-e3be6c30e623}">
          <xlrd:rvb i="120"/>
        </ext>
      </extLst>
    </bk>
    <bk>
      <extLst>
        <ext uri="{3e2802c4-a4d2-4d8b-9148-e3be6c30e623}">
          <xlrd:rvb i="126"/>
        </ext>
      </extLst>
    </bk>
    <bk>
      <extLst>
        <ext uri="{3e2802c4-a4d2-4d8b-9148-e3be6c30e623}">
          <xlrd:rvb i="128"/>
        </ext>
      </extLst>
    </bk>
    <bk>
      <extLst>
        <ext uri="{3e2802c4-a4d2-4d8b-9148-e3be6c30e623}">
          <xlrd:rvb i="130"/>
        </ext>
      </extLst>
    </bk>
    <bk>
      <extLst>
        <ext uri="{3e2802c4-a4d2-4d8b-9148-e3be6c30e623}">
          <xlrd:rvb i="136"/>
        </ext>
      </extLst>
    </bk>
    <bk>
      <extLst>
        <ext uri="{3e2802c4-a4d2-4d8b-9148-e3be6c30e623}">
          <xlrd:rvb i="142"/>
        </ext>
      </extLst>
    </bk>
    <bk>
      <extLst>
        <ext uri="{3e2802c4-a4d2-4d8b-9148-e3be6c30e623}">
          <xlrd:rvb i="148"/>
        </ext>
      </extLst>
    </bk>
    <bk>
      <extLst>
        <ext uri="{3e2802c4-a4d2-4d8b-9148-e3be6c30e623}">
          <xlrd:rvb i="154"/>
        </ext>
      </extLst>
    </bk>
    <bk>
      <extLst>
        <ext uri="{3e2802c4-a4d2-4d8b-9148-e3be6c30e623}">
          <xlrd:rvb i="160"/>
        </ext>
      </extLst>
    </bk>
    <bk>
      <extLst>
        <ext uri="{3e2802c4-a4d2-4d8b-9148-e3be6c30e623}">
          <xlrd:rvb i="162"/>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80"/>
        </ext>
      </extLst>
    </bk>
    <bk>
      <extLst>
        <ext uri="{3e2802c4-a4d2-4d8b-9148-e3be6c30e623}">
          <xlrd:rvb i="186"/>
        </ext>
      </extLst>
    </bk>
    <bk>
      <extLst>
        <ext uri="{3e2802c4-a4d2-4d8b-9148-e3be6c30e623}">
          <xlrd:rvb i="188"/>
        </ext>
      </extLst>
    </bk>
    <bk>
      <extLst>
        <ext uri="{3e2802c4-a4d2-4d8b-9148-e3be6c30e623}">
          <xlrd:rvb i="191"/>
        </ext>
      </extLst>
    </bk>
    <bk>
      <extLst>
        <ext uri="{3e2802c4-a4d2-4d8b-9148-e3be6c30e623}">
          <xlrd:rvb i="197"/>
        </ext>
      </extLst>
    </bk>
    <bk>
      <extLst>
        <ext uri="{3e2802c4-a4d2-4d8b-9148-e3be6c30e623}">
          <xlrd:rvb i="200"/>
        </ext>
      </extLst>
    </bk>
    <bk>
      <extLst>
        <ext uri="{3e2802c4-a4d2-4d8b-9148-e3be6c30e623}">
          <xlrd:rvb i="206"/>
        </ext>
      </extLst>
    </bk>
    <bk>
      <extLst>
        <ext uri="{3e2802c4-a4d2-4d8b-9148-e3be6c30e623}">
          <xlrd:rvb i="209"/>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0"/>
        </ext>
      </extLst>
    </bk>
    <bk>
      <extLst>
        <ext uri="{3e2802c4-a4d2-4d8b-9148-e3be6c30e623}">
          <xlrd:rvb i="223"/>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7"/>
        </ext>
      </extLst>
    </bk>
    <bk>
      <extLst>
        <ext uri="{3e2802c4-a4d2-4d8b-9148-e3be6c30e623}">
          <xlrd:rvb i="239"/>
        </ext>
      </extLst>
    </bk>
    <bk>
      <extLst>
        <ext uri="{3e2802c4-a4d2-4d8b-9148-e3be6c30e623}">
          <xlrd:rvb i="241"/>
        </ext>
      </extLst>
    </bk>
    <bk>
      <extLst>
        <ext uri="{3e2802c4-a4d2-4d8b-9148-e3be6c30e623}">
          <xlrd:rvb i="244"/>
        </ext>
      </extLst>
    </bk>
    <bk>
      <extLst>
        <ext uri="{3e2802c4-a4d2-4d8b-9148-e3be6c30e623}">
          <xlrd:rvb i="251"/>
        </ext>
      </extLst>
    </bk>
    <bk>
      <extLst>
        <ext uri="{3e2802c4-a4d2-4d8b-9148-e3be6c30e623}">
          <xlrd:rvb i="254"/>
        </ext>
      </extLst>
    </bk>
    <bk>
      <extLst>
        <ext uri="{3e2802c4-a4d2-4d8b-9148-e3be6c30e623}">
          <xlrd:rvb i="260"/>
        </ext>
      </extLst>
    </bk>
    <bk>
      <extLst>
        <ext uri="{3e2802c4-a4d2-4d8b-9148-e3be6c30e623}">
          <xlrd:rvb i="267"/>
        </ext>
      </extLst>
    </bk>
    <bk>
      <extLst>
        <ext uri="{3e2802c4-a4d2-4d8b-9148-e3be6c30e623}">
          <xlrd:rvb i="270"/>
        </ext>
      </extLst>
    </bk>
    <bk>
      <extLst>
        <ext uri="{3e2802c4-a4d2-4d8b-9148-e3be6c30e623}">
          <xlrd:rvb i="275"/>
        </ext>
      </extLst>
    </bk>
    <bk>
      <extLst>
        <ext uri="{3e2802c4-a4d2-4d8b-9148-e3be6c30e623}">
          <xlrd:rvb i="281"/>
        </ext>
      </extLst>
    </bk>
    <bk>
      <extLst>
        <ext uri="{3e2802c4-a4d2-4d8b-9148-e3be6c30e623}">
          <xlrd:rvb i="283"/>
        </ext>
      </extLst>
    </bk>
    <bk>
      <extLst>
        <ext uri="{3e2802c4-a4d2-4d8b-9148-e3be6c30e623}">
          <xlrd:rvb i="286"/>
        </ext>
      </extLst>
    </bk>
    <bk>
      <extLst>
        <ext uri="{3e2802c4-a4d2-4d8b-9148-e3be6c30e623}">
          <xlrd:rvb i="292"/>
        </ext>
      </extLst>
    </bk>
  </futureMetadata>
  <valueMetadata count="7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valueMetadata>
</metadata>
</file>

<file path=xl/sharedStrings.xml><?xml version="1.0" encoding="utf-8"?>
<sst xmlns="http://schemas.openxmlformats.org/spreadsheetml/2006/main" count="398" uniqueCount="241">
  <si>
    <t>Stock</t>
  </si>
  <si>
    <t>Entry Date</t>
  </si>
  <si>
    <t>Price</t>
  </si>
  <si>
    <t>Exit Date</t>
  </si>
  <si>
    <t xml:space="preserve">P/L </t>
  </si>
  <si>
    <t>1.76cr</t>
  </si>
  <si>
    <t>2.25cr</t>
  </si>
  <si>
    <t>1.80cr</t>
  </si>
  <si>
    <t>2.01cr</t>
  </si>
  <si>
    <t>2.00cr</t>
  </si>
  <si>
    <t>Strategy</t>
  </si>
  <si>
    <t>Put Credit Spread</t>
  </si>
  <si>
    <t>Strike(s)</t>
  </si>
  <si>
    <t xml:space="preserve"> -25p 1/15 | +20p 1/15</t>
  </si>
  <si>
    <t xml:space="preserve"> -190p 12/18 | +185p 12/18</t>
  </si>
  <si>
    <t xml:space="preserve"> -260p 12/18 | +255p 12/18</t>
  </si>
  <si>
    <t xml:space="preserve"> -185p 10/16 | +180p 10/16</t>
  </si>
  <si>
    <t xml:space="preserve"> -190p 9/18 | +185p 9/18</t>
  </si>
  <si>
    <t>Diagonal Spread</t>
  </si>
  <si>
    <t xml:space="preserve"> -17c 11/20 | +13c 12/18</t>
  </si>
  <si>
    <t>2.75db</t>
  </si>
  <si>
    <t>Total</t>
  </si>
  <si>
    <t>Iron Condor</t>
  </si>
  <si>
    <t>( +15p | -20p | -35c | +40c ) 12/18</t>
  </si>
  <si>
    <t>Calendar Spread</t>
  </si>
  <si>
    <t xml:space="preserve"> -360p 12/18 | +360p 1/15</t>
  </si>
  <si>
    <t>3.73db</t>
  </si>
  <si>
    <t>Broken Wing Butterfly</t>
  </si>
  <si>
    <t xml:space="preserve"> ( -24p x 2 | +22p | +25p ) 12/16</t>
  </si>
  <si>
    <t>.40cr</t>
  </si>
  <si>
    <t xml:space="preserve"> -20p 1/15 | +21p 1/15</t>
  </si>
  <si>
    <t>n/a</t>
  </si>
  <si>
    <t>Δ</t>
  </si>
  <si>
    <t>Δdate</t>
  </si>
  <si>
    <t xml:space="preserve"> -125c 1/15 | +125c 3/19</t>
  </si>
  <si>
    <t>2.55db</t>
  </si>
  <si>
    <t xml:space="preserve"> -160p 1/15 | +155p 1/15</t>
  </si>
  <si>
    <t>2.17cr</t>
  </si>
  <si>
    <t xml:space="preserve"> -41c 12/18 | +37c 1/15</t>
  </si>
  <si>
    <t>3.05db</t>
  </si>
  <si>
    <t xml:space="preserve"> +41c 12/18 | -40c 1/8</t>
  </si>
  <si>
    <t>Call Debit Spread</t>
  </si>
  <si>
    <t xml:space="preserve"> +35c 1/20 | -50c 1/20</t>
  </si>
  <si>
    <t xml:space="preserve"> -90p 1/15 | +85p 1/15</t>
  </si>
  <si>
    <t>1.09db</t>
  </si>
  <si>
    <t>1.72cr</t>
  </si>
  <si>
    <t xml:space="preserve"> -45p 1/15 | +40p 1/15</t>
  </si>
  <si>
    <t>0.90cr</t>
  </si>
  <si>
    <t>Put Debit Spread</t>
  </si>
  <si>
    <t xml:space="preserve"> +30p 1/15 | -27p 1/15</t>
  </si>
  <si>
    <t>0.62db</t>
  </si>
  <si>
    <t xml:space="preserve"> -60p 2/19 | +50p 2/19</t>
  </si>
  <si>
    <t>4.84cr</t>
  </si>
  <si>
    <t xml:space="preserve"> (+60p 2/19 | -50p 2/19) (-75p 2/19 | +65p 2/19)</t>
  </si>
  <si>
    <t xml:space="preserve"> -35c 1/20 | +40c 1/20</t>
  </si>
  <si>
    <t xml:space="preserve"> -120p 1/15 | +120p 2/19</t>
  </si>
  <si>
    <t xml:space="preserve"> -235p 2/19 | +230p 2/19</t>
  </si>
  <si>
    <t xml:space="preserve"> -92.5c 1/22 | +92.5c 2/19</t>
  </si>
  <si>
    <t xml:space="preserve"> -35c 1/22 | +35c 2/19</t>
  </si>
  <si>
    <t>2.85cr</t>
  </si>
  <si>
    <t>2.13db</t>
  </si>
  <si>
    <t>3.09db</t>
  </si>
  <si>
    <t>1.78db</t>
  </si>
  <si>
    <t>Mistake</t>
  </si>
  <si>
    <t xml:space="preserve"> -2.5c 12/11</t>
  </si>
  <si>
    <t>1.10cr</t>
  </si>
  <si>
    <t>Short Strangle</t>
  </si>
  <si>
    <t xml:space="preserve"> -15p 2/19 | -23c 2/19</t>
  </si>
  <si>
    <t>2.95cr</t>
  </si>
  <si>
    <t xml:space="preserve"> +120p 1/15 | -118p 2/5</t>
  </si>
  <si>
    <t>1/7/2021  11:42:00 AM | 1/11/21 1:23 PM</t>
  </si>
  <si>
    <t xml:space="preserve"> +15p 2/19 | -16p 2/19</t>
  </si>
  <si>
    <t xml:space="preserve"> -140c 3/19 | +140c 4/16</t>
  </si>
  <si>
    <t xml:space="preserve"> -22.5p 3/19 | +27.5p 3/19</t>
  </si>
  <si>
    <t>1.33db</t>
  </si>
  <si>
    <t>Iron Fly</t>
  </si>
  <si>
    <t xml:space="preserve"> (+6p | -8p x2 | +10p) 3/19</t>
  </si>
  <si>
    <t>.94db</t>
  </si>
  <si>
    <t xml:space="preserve"> -14p 4/16 | +9p 4/16</t>
  </si>
  <si>
    <t>2.39cr</t>
  </si>
  <si>
    <t xml:space="preserve"> -35p 3/19 | +38p 3/19</t>
  </si>
  <si>
    <t>.15db</t>
  </si>
  <si>
    <t xml:space="preserve"> +9p 3/19</t>
  </si>
  <si>
    <t>.06db</t>
  </si>
  <si>
    <t xml:space="preserve"> ( -65p | +60p | +70c | -75c ) 4/16</t>
  </si>
  <si>
    <t>2.93cr</t>
  </si>
  <si>
    <t xml:space="preserve"> -45p 4/16 | +40p 4/16</t>
  </si>
  <si>
    <t xml:space="preserve"> +22p 3/2 | -21p 3/2</t>
  </si>
  <si>
    <t>Long Stock</t>
  </si>
  <si>
    <t>10 @ 5.76</t>
  </si>
  <si>
    <t>2.45cr</t>
  </si>
  <si>
    <t>.576db</t>
  </si>
  <si>
    <t xml:space="preserve"> -50c | +55c 4/16</t>
  </si>
  <si>
    <t xml:space="preserve"> -7.5p | +5p 4/16</t>
  </si>
  <si>
    <t>.66cr</t>
  </si>
  <si>
    <t xml:space="preserve"> +140c 3/19 | -145c 4/16 </t>
  </si>
  <si>
    <t>1.35db</t>
  </si>
  <si>
    <t xml:space="preserve"> +30c 5/21 | -35c 4/16</t>
  </si>
  <si>
    <t>2.97db</t>
  </si>
  <si>
    <t xml:space="preserve"> +35c 4/16 | -30c 4/16 // +30c 4/16 | -35c 5/21</t>
  </si>
  <si>
    <t>3/23/2021  1:23:00 PM // 4/12/21 12:12 PM</t>
  </si>
  <si>
    <t xml:space="preserve"> +337p 5/21 | -316p 5/21</t>
  </si>
  <si>
    <t>.91db</t>
  </si>
  <si>
    <t>(+45p | -50p | +75c | -70c) 5/21</t>
  </si>
  <si>
    <t>1.75cr</t>
  </si>
  <si>
    <t xml:space="preserve"> -44p 6/18 | +42p 6/18</t>
  </si>
  <si>
    <t xml:space="preserve"> -15.89p 6/18 | +14.89p 6/18</t>
  </si>
  <si>
    <t>.34cr</t>
  </si>
  <si>
    <t xml:space="preserve"> -29p 6/18 | +28p 6/18</t>
  </si>
  <si>
    <t>.36cr</t>
  </si>
  <si>
    <t xml:space="preserve"> -6p 6/18 | +5p 6/18</t>
  </si>
  <si>
    <t>.28cr</t>
  </si>
  <si>
    <t xml:space="preserve"> +14p 6/18 | -13p 6/18</t>
  </si>
  <si>
    <t>.58db</t>
  </si>
  <si>
    <t>IPOE / SOFI</t>
  </si>
  <si>
    <t>(+10p | -12.5p | +25c | -22.5c) 7/16</t>
  </si>
  <si>
    <t>(-10p | +12.5p | -17.5p | +15p)</t>
  </si>
  <si>
    <t>.77cr</t>
  </si>
  <si>
    <t xml:space="preserve"> -35p 6/18 | +32.5p 6/18</t>
  </si>
  <si>
    <t>1.02cr</t>
  </si>
  <si>
    <t>Call Credit Spread</t>
  </si>
  <si>
    <t xml:space="preserve"> -15c 6/18 | +16c 6/18</t>
  </si>
  <si>
    <t>.50cr</t>
  </si>
  <si>
    <t>Long Iron Condor</t>
  </si>
  <si>
    <t>(+12c | -14c | +10p | -8p) 6/18</t>
  </si>
  <si>
    <t>1.00db</t>
  </si>
  <si>
    <t xml:space="preserve"> -8.5p 7/16 | +7.5p 7/16</t>
  </si>
  <si>
    <t>.48cr</t>
  </si>
  <si>
    <t>(+7p | -5p | +9c | -11c) 7/16</t>
  </si>
  <si>
    <t>1.18db</t>
  </si>
  <si>
    <t>% Winners</t>
  </si>
  <si>
    <t>% Losers</t>
  </si>
  <si>
    <t>Biggest Win</t>
  </si>
  <si>
    <t>Biggest Loss</t>
  </si>
  <si>
    <t>Standard Deviation</t>
  </si>
  <si>
    <t>Avg. Win</t>
  </si>
  <si>
    <t>Avg. Loss</t>
  </si>
  <si>
    <t>ROI</t>
  </si>
  <si>
    <t>Avg. Win %</t>
  </si>
  <si>
    <t>Avg. Loss %</t>
  </si>
  <si>
    <t>Std. Dev %</t>
  </si>
  <si>
    <t>Avg %</t>
  </si>
  <si>
    <t>E(V)</t>
  </si>
  <si>
    <t>E(V) %</t>
  </si>
  <si>
    <t>Avg. $</t>
  </si>
  <si>
    <t xml:space="preserve"> -255p 6/18 | +255p 7/16</t>
  </si>
  <si>
    <t>3.19db</t>
  </si>
  <si>
    <t xml:space="preserve"> -29p 7/16 | +27p 7/16</t>
  </si>
  <si>
    <t>0.73cr</t>
  </si>
  <si>
    <t xml:space="preserve"> -20p 8/20 | +17.5p 8/20</t>
  </si>
  <si>
    <t>1.15cr</t>
  </si>
  <si>
    <t xml:space="preserve"> -10p 9/15 | +7.5p 9/15</t>
  </si>
  <si>
    <t xml:space="preserve"> -32.5c 7/16 | +32.5c 8/20</t>
  </si>
  <si>
    <t>.90db</t>
  </si>
  <si>
    <t>1.47cr</t>
  </si>
  <si>
    <t>(-52.5p | +50p | -60c | +62.5c) 8/20</t>
  </si>
  <si>
    <t>1.00cr</t>
  </si>
  <si>
    <t>Instances</t>
  </si>
  <si>
    <t xml:space="preserve"> -150c 8/16 | +152.5c 8/16</t>
  </si>
  <si>
    <t>2.02db</t>
  </si>
  <si>
    <t xml:space="preserve"> -290c 8/16 | +289c 8/16</t>
  </si>
  <si>
    <t>.47db</t>
  </si>
  <si>
    <t xml:space="preserve"> 5x(-144.5p 8/30 | +144p 8/30)</t>
  </si>
  <si>
    <t>1.50cr</t>
  </si>
  <si>
    <t>2x(-30.5p 8/23 | +30p 8/23)</t>
  </si>
  <si>
    <t xml:space="preserve"> -30p 9/20 | +25p 9/20</t>
  </si>
  <si>
    <t>3.88cr</t>
  </si>
  <si>
    <t xml:space="preserve"> +139c 8/23 | -140c 8/23</t>
  </si>
  <si>
    <t>.26db</t>
  </si>
  <si>
    <t xml:space="preserve"> -64c 9/13 | +65c 9/13</t>
  </si>
  <si>
    <t>.70cr</t>
  </si>
  <si>
    <t xml:space="preserve"> -45c 10/18 | + 40c 10/18</t>
  </si>
  <si>
    <t>.33db</t>
  </si>
  <si>
    <t xml:space="preserve"> +267.5c 10/11 | -265c 10/11</t>
  </si>
  <si>
    <t>2.22db</t>
  </si>
  <si>
    <t>2x(-305p 11/25 | +306p 11/25)</t>
  </si>
  <si>
    <t xml:space="preserve"> -330p 1/31 | + 327.5p 1/31</t>
  </si>
  <si>
    <t>1.77cr</t>
  </si>
  <si>
    <t>Long Put</t>
  </si>
  <si>
    <t xml:space="preserve"> +311p 7/6</t>
  </si>
  <si>
    <t>2.79db</t>
  </si>
  <si>
    <t xml:space="preserve"> -313p 7/22 | +311p 7/22</t>
  </si>
  <si>
    <t>2x(-25p 7/22 | + 23p 7/22)</t>
  </si>
  <si>
    <t>1.42cr</t>
  </si>
  <si>
    <t xml:space="preserve"> -172.5p 7/17 | +170p 7/17</t>
  </si>
  <si>
    <t>.85cr</t>
  </si>
  <si>
    <t xml:space="preserve"> -18p 8/20 | +17p 8/20</t>
  </si>
  <si>
    <t xml:space="preserve"> -60c 8/20 | +60c 9/17</t>
  </si>
  <si>
    <t>.53db</t>
  </si>
  <si>
    <t>General Notes</t>
  </si>
  <si>
    <t>[Deposit]</t>
  </si>
  <si>
    <t>Beginning Equity</t>
  </si>
  <si>
    <t>Ending Equity</t>
  </si>
  <si>
    <t>Summary  Statistics (Single Trades)</t>
  </si>
  <si>
    <t>Deposits / Withdrawals</t>
  </si>
  <si>
    <t>Geometric Return</t>
  </si>
  <si>
    <t>P/L</t>
  </si>
  <si>
    <t># trades</t>
  </si>
  <si>
    <t>Return Table Adjustable Dates</t>
  </si>
  <si>
    <t>Dates (Beg)</t>
  </si>
  <si>
    <t xml:space="preserve"> -75p 8/20 | +75p 9/17</t>
  </si>
  <si>
    <t>1.42db</t>
  </si>
  <si>
    <t xml:space="preserve"> -5p 9/17 | +2.5p 9/17</t>
  </si>
  <si>
    <t>1.05cr</t>
  </si>
  <si>
    <t xml:space="preserve"> +60c | -62.5c | -54c | + 56.5c</t>
  </si>
  <si>
    <t>Arithmetic Return</t>
  </si>
  <si>
    <t>R(f)</t>
  </si>
  <si>
    <t>Profitable Periods</t>
  </si>
  <si>
    <t>Losing Periods</t>
  </si>
  <si>
    <t>Total Periods</t>
  </si>
  <si>
    <t>Total P/L</t>
  </si>
  <si>
    <t>Total Deposits/Withdrawals</t>
  </si>
  <si>
    <t>Total Arithmetic Return</t>
  </si>
  <si>
    <t>Sharpe</t>
  </si>
  <si>
    <t>Total Geometric Return</t>
  </si>
  <si>
    <t>Total # of Trades</t>
  </si>
  <si>
    <t>Avg. Geometric Return</t>
  </si>
  <si>
    <t>Std. Dev Geometric Return</t>
  </si>
  <si>
    <r>
      <t xml:space="preserve">Stick to the winning strategies; if you want to experiment, keep size small. </t>
    </r>
    <r>
      <rPr>
        <b/>
        <sz val="11"/>
        <color theme="1"/>
        <rFont val="Calibri"/>
        <family val="2"/>
        <scheme val="minor"/>
      </rPr>
      <t>Think probability before price</t>
    </r>
    <r>
      <rPr>
        <sz val="11"/>
        <color theme="1"/>
        <rFont val="Calibri"/>
        <family val="2"/>
        <scheme val="minor"/>
      </rPr>
      <t xml:space="preserve">. Cut your losers quicker, if you're making more than one adjustment, it's probably a loser anyways. DON’T BE TOO QUICK TO ADJUST, let it ride </t>
    </r>
  </si>
  <si>
    <t xml:space="preserve"> -100p 8/6 | +100p 8/20</t>
  </si>
  <si>
    <t>1.25db</t>
  </si>
  <si>
    <t>Double Calendar Spread</t>
  </si>
  <si>
    <t>(-42.5p | -45c)8/20 | (+42.5p | +45c)9/17</t>
  </si>
  <si>
    <t>2.00db</t>
  </si>
  <si>
    <t xml:space="preserve"> +100p 8/6 | -100p 8/13</t>
  </si>
  <si>
    <t xml:space="preserve"> -15p 9/17 | +12.5p 8/17</t>
  </si>
  <si>
    <t>(-8p | +7p | -10c | + 11c) 10/15</t>
  </si>
  <si>
    <t>.30cr</t>
  </si>
  <si>
    <t xml:space="preserve"> -29p 9/17 | +28p 9/17</t>
  </si>
  <si>
    <t xml:space="preserve"> (+40p | -41p | -54c | +55c) 10/15</t>
  </si>
  <si>
    <t>.38cr</t>
  </si>
  <si>
    <t>(+15p | - 17.5p | -22.5c | +25c) 10/15</t>
  </si>
  <si>
    <t>1.21cr</t>
  </si>
  <si>
    <t xml:space="preserve"> -17p 10/15 | +16p 10/15</t>
  </si>
  <si>
    <t xml:space="preserve"> -19p 10/15 | +18p 10/15</t>
  </si>
  <si>
    <t>.37cr</t>
  </si>
  <si>
    <t xml:space="preserve"> -37p 10/15 | +36p 10/15</t>
  </si>
  <si>
    <t>.42cr</t>
  </si>
  <si>
    <t xml:space="preserve"> -16p 10/15 | +15p 10/15</t>
  </si>
  <si>
    <t>TOTALS@10/1/2021</t>
  </si>
  <si>
    <t>Summary Statistics (Returns) @ 10/1/2021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</si>
</sst>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7" formatCode="&quot;$&quot;#,##0.00_);\(&quot;$&quot;#,##0.00\)"/>
    <numFmt numFmtId="8" formatCode="&quot;$&quot;#,##0.00_);[Red]\(&quot;$&quot;#,##0.00\)"/>
    <numFmt numFmtId="44" formatCode="_(&quot;$&quot;* #,##0.00_);_(&quot;$&quot;* \(#,##0.00\);_(&quot;$&quot;* &quot;-&quot;??_);_(@_)"/>
    <numFmt numFmtId="168" formatCode="_([$$-409]* #,##0.00_);_([$$-409]* \(#,##0.00\);_([$$-409]* &quot;-&quot;??_);_(@_)"/>
    <numFmt numFmtId="169" formatCode="[$-409]m/d/yy\ h:mm\ AM/PM;@"/>
    <numFmt numFmtId="170" formatCode="0.00%\)"/>
  </numFmts>
  <fonts count="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1"/>
      <name val="Calibri"/>
      <family val="2"/>
    </font>
    <font>
      <sz val="11"/>
      <color theme="1"/>
      <name val="Calibri"/>
      <family val="2"/>
      <scheme val="minor"/>
    </font>
    <font>
      <b/>
      <sz val="11"/>
      <name val="Calibri"/>
      <family val="2"/>
      <scheme val="minor"/>
    </font>
    <font>
      <sz val="8"/>
      <name val="Calibri"/>
      <family val="2"/>
      <scheme val="minor"/>
    </font>
    <font>
      <sz val="11"/>
      <color rgb="FF000000"/>
      <name val="Calibri"/>
      <family val="2"/>
    </font>
  </fonts>
  <fills count="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0" tint="-0.14999847407452621"/>
        <bgColor indexed="64"/>
      </patternFill>
    </fill>
  </fills>
  <borders count="11">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s>
  <cellStyleXfs count="3">
    <xf numFmtId="0" fontId="0" fillId="0" borderId="0"/>
    <xf numFmtId="44" fontId="5" fillId="0" borderId="0" applyFont="0" applyFill="0" applyBorder="0" applyAlignment="0" applyProtection="0"/>
    <xf numFmtId="9" fontId="5" fillId="0" borderId="0" applyFont="0" applyFill="0" applyBorder="0" applyAlignment="0" applyProtection="0"/>
  </cellStyleXfs>
  <cellXfs count="74">
    <xf numFmtId="0" fontId="0" fillId="0" borderId="0" xfId="0"/>
    <xf numFmtId="0" fontId="1" fillId="0" borderId="0" xfId="0" applyFont="1" applyAlignment="1">
      <alignment horizontal="center"/>
    </xf>
    <xf numFmtId="0" fontId="0" fillId="0" borderId="0" xfId="0" applyAlignment="1">
      <alignment horizontal="center"/>
    </xf>
    <xf numFmtId="169" fontId="0" fillId="0" borderId="0" xfId="0" applyNumberFormat="1" applyAlignment="1">
      <alignment horizontal="center"/>
    </xf>
    <xf numFmtId="169" fontId="1" fillId="0" borderId="0" xfId="0" applyNumberFormat="1" applyFon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4" fillId="0" borderId="0" xfId="0" applyFont="1" applyAlignment="1">
      <alignment horizontal="center"/>
    </xf>
    <xf numFmtId="10" fontId="0" fillId="0" borderId="0" xfId="0" applyNumberFormat="1"/>
    <xf numFmtId="44" fontId="0" fillId="0" borderId="0" xfId="1" applyFont="1"/>
    <xf numFmtId="0" fontId="6" fillId="0" borderId="0" xfId="0" applyFont="1"/>
    <xf numFmtId="0" fontId="1" fillId="0" borderId="0" xfId="0" applyFont="1"/>
    <xf numFmtId="0" fontId="6" fillId="2" borderId="0" xfId="0" applyFont="1" applyFill="1"/>
    <xf numFmtId="10" fontId="0" fillId="2" borderId="0" xfId="0" applyNumberFormat="1" applyFill="1"/>
    <xf numFmtId="44" fontId="0" fillId="2" borderId="0" xfId="1" applyFont="1" applyFill="1"/>
    <xf numFmtId="0" fontId="1" fillId="2" borderId="0" xfId="0" applyFont="1" applyFill="1"/>
    <xf numFmtId="10" fontId="1" fillId="0" borderId="0" xfId="2" applyNumberFormat="1" applyFont="1" applyAlignment="1">
      <alignment horizontal="center"/>
    </xf>
    <xf numFmtId="10" fontId="0" fillId="0" borderId="0" xfId="2" applyNumberFormat="1" applyFont="1" applyAlignment="1">
      <alignment horizontal="center"/>
    </xf>
    <xf numFmtId="0" fontId="0" fillId="0" borderId="0" xfId="0" applyAlignment="1">
      <alignment horizontal="center"/>
    </xf>
    <xf numFmtId="170" fontId="0" fillId="2" borderId="0" xfId="0" applyNumberFormat="1" applyFill="1"/>
    <xf numFmtId="0" fontId="1" fillId="0" borderId="0" xfId="0" applyFont="1" applyFill="1"/>
    <xf numFmtId="44" fontId="0" fillId="0" borderId="0" xfId="1" applyNumberFormat="1" applyFont="1" applyFill="1"/>
    <xf numFmtId="0" fontId="0" fillId="0" borderId="0" xfId="0" applyAlignment="1">
      <alignment horizontal="center"/>
    </xf>
    <xf numFmtId="0" fontId="0" fillId="0" borderId="0" xfId="0" applyAlignment="1">
      <alignment horizontal="center"/>
    </xf>
    <xf numFmtId="10" fontId="0" fillId="0" borderId="0" xfId="0" applyNumberFormat="1" applyFont="1" applyAlignment="1">
      <alignment horizontal="center"/>
    </xf>
    <xf numFmtId="0" fontId="0" fillId="0" borderId="0" xfId="0" applyAlignment="1">
      <alignment horizontal="center"/>
    </xf>
    <xf numFmtId="0" fontId="0" fillId="0" borderId="0" xfId="0" applyAlignment="1"/>
    <xf numFmtId="6" fontId="0" fillId="0" borderId="0" xfId="0" applyNumberFormat="1" applyAlignment="1"/>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xf>
    <xf numFmtId="8" fontId="0" fillId="0" borderId="0" xfId="0" applyNumberFormat="1" applyAlignment="1">
      <alignment horizontal="center"/>
    </xf>
    <xf numFmtId="2" fontId="0" fillId="0" borderId="0" xfId="0" applyNumberFormat="1" applyFont="1" applyAlignment="1">
      <alignment horizontal="center"/>
    </xf>
    <xf numFmtId="14" fontId="0" fillId="0" borderId="0" xfId="0" applyNumberFormat="1"/>
    <xf numFmtId="7" fontId="0" fillId="0" borderId="0" xfId="1" applyNumberFormat="1" applyFont="1"/>
    <xf numFmtId="44" fontId="1" fillId="0" borderId="0" xfId="1" applyFont="1"/>
    <xf numFmtId="0" fontId="0" fillId="0" borderId="0" xfId="0" applyAlignment="1">
      <alignment horizontal="center"/>
    </xf>
    <xf numFmtId="0" fontId="0" fillId="0" borderId="0" xfId="0" applyNumberFormat="1"/>
    <xf numFmtId="0" fontId="1" fillId="0" borderId="0" xfId="2" applyNumberFormat="1" applyFont="1"/>
    <xf numFmtId="10" fontId="0" fillId="0" borderId="0" xfId="2" applyNumberFormat="1" applyFont="1"/>
    <xf numFmtId="10" fontId="1" fillId="0" borderId="0" xfId="2" applyNumberFormat="1" applyFont="1"/>
    <xf numFmtId="0" fontId="0" fillId="0" borderId="0" xfId="0" applyAlignment="1">
      <alignment horizontal="center"/>
    </xf>
    <xf numFmtId="9" fontId="0" fillId="0" borderId="0" xfId="2" applyFont="1"/>
    <xf numFmtId="10" fontId="0" fillId="0" borderId="0" xfId="1" applyNumberFormat="1" applyFont="1"/>
    <xf numFmtId="1" fontId="0" fillId="0" borderId="0" xfId="2" applyNumberFormat="1" applyFont="1"/>
    <xf numFmtId="1" fontId="0" fillId="0" borderId="0" xfId="0" applyNumberFormat="1"/>
    <xf numFmtId="7" fontId="0" fillId="0" borderId="0" xfId="2" applyNumberFormat="1" applyFont="1"/>
    <xf numFmtId="2" fontId="0" fillId="0" borderId="0" xfId="2" applyNumberFormat="1" applyFont="1"/>
    <xf numFmtId="10" fontId="0" fillId="4" borderId="0" xfId="2" applyNumberFormat="1" applyFont="1" applyFill="1"/>
    <xf numFmtId="7" fontId="0" fillId="4" borderId="0" xfId="2" applyNumberFormat="1" applyFont="1" applyFill="1"/>
    <xf numFmtId="10" fontId="0" fillId="4" borderId="0" xfId="2" applyNumberFormat="1" applyFont="1" applyFill="1" applyBorder="1"/>
    <xf numFmtId="1" fontId="0" fillId="4" borderId="0" xfId="2" applyNumberFormat="1" applyFont="1" applyFill="1"/>
    <xf numFmtId="10" fontId="1" fillId="4" borderId="0" xfId="2" applyNumberFormat="1" applyFont="1" applyFill="1"/>
    <xf numFmtId="10" fontId="1" fillId="4" borderId="0" xfId="2" applyNumberFormat="1" applyFont="1" applyFill="1" applyBorder="1"/>
    <xf numFmtId="14" fontId="0" fillId="0" borderId="0" xfId="1" applyNumberFormat="1"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 fillId="0" borderId="0" xfId="0" applyFont="1" applyAlignment="1">
      <alignment horizontal="center"/>
    </xf>
    <xf numFmtId="6" fontId="0" fillId="0" borderId="0" xfId="0" applyNumberFormat="1" applyAlignment="1">
      <alignment horizontal="center"/>
    </xf>
    <xf numFmtId="0" fontId="0" fillId="0" borderId="0" xfId="0" applyAlignment="1">
      <alignment horizontal="center"/>
    </xf>
    <xf numFmtId="0" fontId="1" fillId="0" borderId="2" xfId="0" applyFont="1" applyBorder="1" applyAlignment="1">
      <alignment horizontal="center"/>
    </xf>
    <xf numFmtId="0" fontId="0" fillId="0" borderId="2" xfId="0" applyBorder="1" applyAlignment="1">
      <alignment horizontal="center"/>
    </xf>
    <xf numFmtId="0" fontId="1" fillId="0" borderId="1" xfId="0" applyFont="1" applyBorder="1" applyAlignment="1">
      <alignment horizontal="center"/>
    </xf>
    <xf numFmtId="44" fontId="0" fillId="3" borderId="3" xfId="1" applyFont="1" applyFill="1" applyBorder="1" applyAlignment="1">
      <alignment wrapText="1"/>
    </xf>
    <xf numFmtId="44" fontId="0" fillId="3" borderId="0" xfId="1" applyFont="1" applyFill="1" applyBorder="1" applyAlignment="1">
      <alignment wrapText="1"/>
    </xf>
    <xf numFmtId="44" fontId="0" fillId="3" borderId="4" xfId="1" applyFont="1" applyFill="1" applyBorder="1" applyAlignment="1">
      <alignment wrapText="1"/>
    </xf>
    <xf numFmtId="44" fontId="0" fillId="3" borderId="5" xfId="1" applyFont="1" applyFill="1" applyBorder="1" applyAlignment="1">
      <alignment wrapText="1"/>
    </xf>
    <xf numFmtId="44" fontId="0" fillId="3" borderId="6" xfId="1" applyFont="1" applyFill="1" applyBorder="1" applyAlignment="1">
      <alignment wrapText="1"/>
    </xf>
    <xf numFmtId="44" fontId="0" fillId="3" borderId="7" xfId="1" applyFont="1" applyFill="1" applyBorder="1" applyAlignment="1">
      <alignment wrapText="1"/>
    </xf>
    <xf numFmtId="44" fontId="0" fillId="3" borderId="8" xfId="1" applyFont="1" applyFill="1" applyBorder="1" applyAlignment="1">
      <alignment horizontal="center"/>
    </xf>
    <xf numFmtId="44" fontId="0" fillId="3" borderId="9" xfId="1" applyFont="1" applyFill="1" applyBorder="1" applyAlignment="1">
      <alignment horizontal="center"/>
    </xf>
    <xf numFmtId="44" fontId="0" fillId="3" borderId="10" xfId="1" applyFont="1" applyFill="1" applyBorder="1" applyAlignment="1">
      <alignment horizontal="center"/>
    </xf>
    <xf numFmtId="10" fontId="1" fillId="0" borderId="1" xfId="2" applyNumberFormat="1" applyFont="1" applyBorder="1" applyAlignment="1">
      <alignment horizontal="center"/>
    </xf>
  </cellXfs>
  <cellStyles count="3">
    <cellStyle name="Currency" xfId="1" builtinId="4"/>
    <cellStyle name="Normal" xfId="0" builtinId="0"/>
    <cellStyle name="Percent" xfId="2" builtinId="5"/>
  </cellStyles>
  <dxfs count="45">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numFmt numFmtId="14" formatCode="0.0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1" formatCode="&quot;$&quot;#,##0.00_);\(&quot;$&quot;#,##0.00\)"/>
    </dxf>
    <dxf>
      <font>
        <b val="0"/>
        <i val="0"/>
        <strike val="0"/>
        <condense val="0"/>
        <extend val="0"/>
        <outline val="0"/>
        <shadow val="0"/>
        <u val="none"/>
        <vertAlign val="baseline"/>
        <sz val="11"/>
        <color theme="1"/>
        <name val="Calibri"/>
        <family val="2"/>
        <scheme val="minor"/>
      </font>
      <numFmt numFmtId="11" formatCode="&quot;$&quot;#,##0.00_);\(&quot;$&quot;#,##0.0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1" formatCode="&quot;$&quot;#,##0.00_);\(&quot;$&quot;#,##0.00\)"/>
    </dxf>
    <dxf>
      <font>
        <b val="0"/>
        <i val="0"/>
        <strike val="0"/>
        <condense val="0"/>
        <extend val="0"/>
        <outline val="0"/>
        <shadow val="0"/>
        <u val="none"/>
        <vertAlign val="baseline"/>
        <sz val="11"/>
        <color theme="1"/>
        <name val="Calibri"/>
        <family val="2"/>
        <scheme val="minor"/>
      </font>
      <numFmt numFmtId="11" formatCode="&quot;$&quot;#,##0.00_);\(&quot;$&quot;#,##0.00\)"/>
    </dxf>
    <dxf>
      <numFmt numFmtId="19" formatCode="m/d/yyyy"/>
    </dxf>
    <dxf>
      <numFmt numFmtId="19" formatCode="m/d/yyyy"/>
    </dxf>
    <dxf>
      <font>
        <b/>
        <i val="0"/>
        <strike val="0"/>
        <condense val="0"/>
        <extend val="0"/>
        <outline val="0"/>
        <shadow val="0"/>
        <u val="none"/>
        <vertAlign val="baseline"/>
        <sz val="11"/>
        <color theme="1"/>
        <name val="Calibri"/>
        <family val="2"/>
        <scheme val="minor"/>
      </font>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169" formatCode="[$-409]m/d/yy\ h:mm\ AM/P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9" formatCode="[$-409]m/d/yy\ h:mm\ AM/P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9" formatCode="[$-409]m/d/yy\ h:mm\ AM/P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color theme="9" tint="-0.24994659260841701"/>
      </font>
    </dxf>
    <dxf>
      <font>
        <color rgb="FF9C0006"/>
      </font>
    </dxf>
    <dxf>
      <font>
        <color rgb="FFFF0000"/>
      </font>
      <fill>
        <patternFill patternType="none">
          <bgColor auto="1"/>
        </patternFill>
      </fill>
    </dxf>
    <dxf>
      <font>
        <color theme="9" tint="-0.24994659260841701"/>
      </font>
    </dxf>
  </dxfs>
  <tableStyles count="0" defaultTableStyle="TableStyleMedium2" defaultPivotStyle="PivotStyleLight16"/>
  <colors>
    <mruColors>
      <color rgb="FFDAEFC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chartsheet" Target="chartsheets/sheet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baseline="0"/>
              <a:t> returnS</a:t>
            </a:r>
            <a:r>
              <a:rPr lang="en-US"/>
              <a:t> Over Time</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manualLayout>
          <c:layoutTarget val="inner"/>
          <c:xMode val="edge"/>
          <c:yMode val="edge"/>
          <c:x val="0.12252555364735787"/>
          <c:y val="0.11760099448295812"/>
          <c:w val="0.83170800524934385"/>
          <c:h val="0.77736111111111106"/>
        </c:manualLayout>
      </c:layout>
      <c:lineChart>
        <c:grouping val="standard"/>
        <c:varyColors val="0"/>
        <c:ser>
          <c:idx val="0"/>
          <c:order val="0"/>
          <c:spPr>
            <a:ln w="34925" cap="rnd">
              <a:solidFill>
                <a:schemeClr val="lt1"/>
              </a:solidFill>
              <a:round/>
            </a:ln>
            <a:effectLst>
              <a:outerShdw dist="25400" dir="2700000" algn="tl" rotWithShape="0">
                <a:schemeClr val="accent1"/>
              </a:outerShdw>
            </a:effectLst>
          </c:spPr>
          <c:marker>
            <c:symbol val="none"/>
          </c:marker>
          <c:cat>
            <c:numRef>
              <c:f>'Statistics &amp; Data'!$E$22:$E$123</c:f>
              <c:numCache>
                <c:formatCode>m/d/yyyy</c:formatCode>
                <c:ptCount val="102"/>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44044</c:v>
                </c:pt>
                <c:pt idx="13">
                  <c:v>44075</c:v>
                </c:pt>
                <c:pt idx="14">
                  <c:v>44105</c:v>
                </c:pt>
                <c:pt idx="15">
                  <c:v>44136</c:v>
                </c:pt>
                <c:pt idx="16">
                  <c:v>44166</c:v>
                </c:pt>
                <c:pt idx="17">
                  <c:v>44197</c:v>
                </c:pt>
                <c:pt idx="18">
                  <c:v>44228</c:v>
                </c:pt>
                <c:pt idx="19">
                  <c:v>44256</c:v>
                </c:pt>
                <c:pt idx="20">
                  <c:v>44287</c:v>
                </c:pt>
                <c:pt idx="21">
                  <c:v>44317</c:v>
                </c:pt>
                <c:pt idx="22">
                  <c:v>44348</c:v>
                </c:pt>
                <c:pt idx="23">
                  <c:v>44378</c:v>
                </c:pt>
                <c:pt idx="24">
                  <c:v>44409</c:v>
                </c:pt>
                <c:pt idx="25">
                  <c:v>44440</c:v>
                </c:pt>
                <c:pt idx="26">
                  <c:v>44470</c:v>
                </c:pt>
              </c:numCache>
            </c:numRef>
          </c:cat>
          <c:val>
            <c:numRef>
              <c:f>'Statistics &amp; Data'!$J$22:$J$123</c:f>
              <c:numCache>
                <c:formatCode>0.00%</c:formatCode>
                <c:ptCount val="102"/>
                <c:pt idx="0">
                  <c:v>2E-3</c:v>
                </c:pt>
                <c:pt idx="1">
                  <c:v>1.9960079840319361E-2</c:v>
                </c:pt>
                <c:pt idx="2">
                  <c:v>-0.11937377690802348</c:v>
                </c:pt>
                <c:pt idx="3">
                  <c:v>-0.12888888888888889</c:v>
                </c:pt>
                <c:pt idx="4">
                  <c:v>0</c:v>
                </c:pt>
                <c:pt idx="5">
                  <c:v>-0.12244897959183673</c:v>
                </c:pt>
                <c:pt idx="6">
                  <c:v>0</c:v>
                </c:pt>
                <c:pt idx="7">
                  <c:v>0</c:v>
                </c:pt>
                <c:pt idx="8">
                  <c:v>0</c:v>
                </c:pt>
                <c:pt idx="9">
                  <c:v>0</c:v>
                </c:pt>
                <c:pt idx="10">
                  <c:v>0</c:v>
                </c:pt>
                <c:pt idx="11">
                  <c:v>-0.11497384309768677</c:v>
                </c:pt>
                <c:pt idx="12">
                  <c:v>0.16948578014304599</c:v>
                </c:pt>
                <c:pt idx="13">
                  <c:v>0.14492333555549114</c:v>
                </c:pt>
                <c:pt idx="14">
                  <c:v>0</c:v>
                </c:pt>
                <c:pt idx="15">
                  <c:v>0.39872408293460926</c:v>
                </c:pt>
                <c:pt idx="16">
                  <c:v>0.26424861088487089</c:v>
                </c:pt>
                <c:pt idx="17">
                  <c:v>-7.0865127199324279E-2</c:v>
                </c:pt>
                <c:pt idx="18">
                  <c:v>7.8123807907104492E-3</c:v>
                </c:pt>
                <c:pt idx="19">
                  <c:v>5.1893876997315916E-2</c:v>
                </c:pt>
                <c:pt idx="20">
                  <c:v>-6.0797833386301139E-2</c:v>
                </c:pt>
                <c:pt idx="21">
                  <c:v>-9.2686586926777587E-2</c:v>
                </c:pt>
                <c:pt idx="22">
                  <c:v>-1.8917589574786637E-2</c:v>
                </c:pt>
                <c:pt idx="23">
                  <c:v>3.6361031992198901E-2</c:v>
                </c:pt>
                <c:pt idx="24">
                  <c:v>-4.6780392636340921E-2</c:v>
                </c:pt>
                <c:pt idx="25">
                  <c:v>5.9114509265920483E-2</c:v>
                </c:pt>
                <c:pt idx="26">
                  <c:v>0.24216611484395845</c:v>
                </c:pt>
              </c:numCache>
            </c:numRef>
          </c:val>
          <c:smooth val="0"/>
          <c:extLst>
            <c:ext xmlns:c16="http://schemas.microsoft.com/office/drawing/2014/chart" uri="{C3380CC4-5D6E-409C-BE32-E72D297353CC}">
              <c16:uniqueId val="{00000000-C842-4D33-9F15-EAC3C34BB04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745288112"/>
        <c:axId val="745288440"/>
      </c:lineChart>
      <c:dateAx>
        <c:axId val="745288112"/>
        <c:scaling>
          <c:orientation val="minMax"/>
        </c:scaling>
        <c:delete val="0"/>
        <c:axPos val="b"/>
        <c:numFmt formatCode="m/d/yyyy" sourceLinked="1"/>
        <c:majorTickMark val="out"/>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745288440"/>
        <c:crosses val="autoZero"/>
        <c:auto val="1"/>
        <c:lblOffset val="100"/>
        <c:baseTimeUnit val="months"/>
      </c:dateAx>
      <c:valAx>
        <c:axId val="74528844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5288112"/>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B5922D4-594D-46A7-9F76-A428BAEC5433}">
  <sheetPr codeName="Chart1"/>
  <sheetViews>
    <sheetView zoomScale="81"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1</xdr:row>
          <xdr:rowOff>45720</xdr:rowOff>
        </xdr:from>
        <xdr:to>
          <xdr:col>4</xdr:col>
          <xdr:colOff>396240</xdr:colOff>
          <xdr:row>3</xdr:row>
          <xdr:rowOff>45720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1219200</xdr:colOff>
          <xdr:row>22</xdr:row>
          <xdr:rowOff>121920</xdr:rowOff>
        </xdr:from>
        <xdr:to>
          <xdr:col>3</xdr:col>
          <xdr:colOff>541020</xdr:colOff>
          <xdr:row>25</xdr:row>
          <xdr:rowOff>121920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1173480</xdr:colOff>
          <xdr:row>19</xdr:row>
          <xdr:rowOff>160020</xdr:rowOff>
        </xdr:from>
        <xdr:to>
          <xdr:col>3</xdr:col>
          <xdr:colOff>563880</xdr:colOff>
          <xdr:row>22</xdr:row>
          <xdr:rowOff>22860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Table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54815" cy="6265333"/>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93">
  <rv s="0">
    <v>https://www.bing.com/financeapi/forcetrigger?t=a23hqh&amp;q=ARCX%3aSPY&amp;form=skydnc</v>
    <v>Learn more on Bing</v>
  </rv>
  <rv s="1">
    <v>en-US</v>
    <v>a23hqh</v>
    <v>268435456</v>
    <v>1</v>
    <v>Powered by Refinitiv</v>
    <v>0</v>
    <v>SPDR S&amp;P 500 ETF (ARCX:SPY)</v>
    <v>2</v>
    <v>3</v>
    <v>Finance</v>
    <v>4</v>
    <v>434.76</v>
    <v>310.68</v>
    <v>0.99639999999999995</v>
    <v>2.56</v>
    <v>5.9409999999999992E-3</v>
    <v>USD</v>
    <v>NYSE Arca</v>
    <v>ARCX</v>
    <v>8.9999999999999998E-4</v>
    <v>433.51</v>
    <v>ETF</v>
    <v>44386.579360046097</v>
    <v>0</v>
    <v>432.31</v>
    <v>374031322873.47998</v>
    <v>SPDR S&amp;P 500 ETF</v>
    <v>432.53</v>
    <v>430.92</v>
    <v>433.48</v>
    <v>SPY</v>
    <v>SPDR S&amp;P 500 ETF (ARCX:SPY)</v>
    <v>6994951</v>
    <v>58467750</v>
  </rv>
  <rv s="2">
    <v>1</v>
  </rv>
  <rv s="0">
    <v>https://creativecommons.org/licenses/by-sa/3.0</v>
    <v>CC BY-SA 3.0</v>
  </rv>
  <rv s="0">
    <v>http://es.wikipedia.org/wiki/Alibaba_Group</v>
    <v>Wikipedia</v>
  </rv>
  <rv s="3">
    <v>3</v>
    <v>4</v>
  </rv>
  <rv s="4">
    <v>10</v>
    <v>https://www.bing.com/th?id=AMMS_d4f7a1607c28c2adbf05d2cfaaa1af35&amp;qlt=95</v>
    <v>5</v>
    <v>0</v>
    <v>https://www.bing.com/images/search?form=xlimg&amp;q=alibaba+group</v>
    <v>Image of Alibaba Group Holding Limited</v>
  </rv>
  <rv s="0">
    <v>https://www.bing.com/financeapi/forcetrigger?t=a1o4mw&amp;q=XNYS%3aBABA&amp;form=skydnc</v>
    <v>Learn more on Bing</v>
  </rv>
  <rv s="5">
    <v>en-US</v>
    <v>a1o4mw</v>
    <v>268435456</v>
    <v>1</v>
    <v>Powered by Refinitiv</v>
    <v>5</v>
    <v>Alibaba Group Holding Limited (XNYS:BABA)</v>
    <v>7</v>
    <v>8</v>
    <v>Finance</v>
    <v>9</v>
    <v>319.32</v>
    <v>198.26</v>
    <v>0.81340000000000001</v>
    <v>4.09</v>
    <v>2.0465000000000001E-2</v>
    <v>USD</v>
    <v>Alibaba Group Holding Ltd is a holding company that provides the technology infrastructure and marketing reach to help merchants, brands and other businesses to leverage the power of new technology to engage with users and customers to operate. The Company operates four business segments. The Core Commerce segment provides China retail, China wholesale, International retail, International wholesale, Cainiao logistics services and local consumer services through Taobao Marketplace and Tmall. The Cloud Computing segment provides complete suite of cloud services, including database, storage, network virtualization services, big data analytics and others. The Digital Media and Entertainment segment provides consumer services beyond the core business operations. The Innovation Initiatives and Others segment is to innovate and deliver new services and products.</v>
    <v>252084</v>
    <v>New York Stock Exchange</v>
    <v>XNYS</v>
    <v>XNYS</v>
    <v>No. 699 Wangshang Road, Binjiang District, HANGZHOU, ZHEJIANG, 310052 CN</v>
    <v>204.06</v>
    <v>6</v>
    <v>Software &amp; IT Services</v>
    <v>Stock</v>
    <v>44386.58626290469</v>
    <v>7</v>
    <v>201.5</v>
    <v>552905608860</v>
    <v>Alibaba Group Holding Limited</v>
    <v>Alibaba Group Holding Limited</v>
    <v>202.01</v>
    <v>23.948599999999999</v>
    <v>199.85</v>
    <v>203.94</v>
    <v>2711119000</v>
    <v>BABA</v>
    <v>Alibaba Group Holding Limited (XNYS:BABA)</v>
    <v>3828160</v>
    <v>13738835</v>
    <v>1999</v>
  </rv>
  <rv s="2">
    <v>8</v>
  </rv>
  <rv s="0">
    <v>http://en.wikipedia.org/wiki/Public_domain</v>
    <v>Public domain</v>
  </rv>
  <rv s="0">
    <v>http://en.wikipedia.org/wiki/Advanced_Micro_Devices</v>
    <v>Wikipedia</v>
  </rv>
  <rv s="3">
    <v>10</v>
    <v>11</v>
  </rv>
  <rv s="4">
    <v>10</v>
    <v>https://www.bing.com/th?id=AMMS_fbc39ac25bb1332e8095cd72ec19dc8e&amp;qlt=95</v>
    <v>12</v>
    <v>0</v>
    <v>https://www.bing.com/images/search?form=xlimg&amp;q=advanced+micro+devices</v>
    <v>Image of ADVANCED MICRO DEVICES, INC.</v>
  </rv>
  <rv s="0">
    <v>https://www.bing.com/financeapi/forcetrigger?t=a1ndww&amp;q=XNAS%3aAMD&amp;form=skydnc</v>
    <v>Learn more on Bing</v>
  </rv>
  <rv s="5">
    <v>en-US</v>
    <v>a1ndww</v>
    <v>268435456</v>
    <v>1</v>
    <v>Powered by Refinitiv</v>
    <v>5</v>
    <v>ADVANCED MICRO DEVICES, INC. (XNAS:AMD)</v>
    <v>7</v>
    <v>8</v>
    <v>Finance</v>
    <v>9</v>
    <v>99.23</v>
    <v>52.26</v>
    <v>2.0068000000000001</v>
    <v>-0.6714</v>
    <v>-7.4819999999999999E-3</v>
    <v>USD</v>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v>12600</v>
    <v>Nasdaq Stock Market</v>
    <v>XNAS</v>
    <v>XNAS</v>
    <v>2485 Augustine Dr, SANTA CLARA, CA, 95054-3002 US</v>
    <v>90.13</v>
    <v>13</v>
    <v>Semiconductors &amp; Semiconductor Equipment</v>
    <v>Stock</v>
    <v>44386.593480566407</v>
    <v>14</v>
    <v>88.53</v>
    <v>108220219440</v>
    <v>ADVANCED MICRO DEVICES, INC.</v>
    <v>ADVANCED MICRO DEVICES, INC.</v>
    <v>90</v>
    <v>38.094000000000001</v>
    <v>89.74</v>
    <v>89.068600000000004</v>
    <v>1215021000</v>
    <v>AMD</v>
    <v>ADVANCED MICRO DEVICES, INC. (XNAS:AMD)</v>
    <v>9042545</v>
    <v>39397026</v>
    <v>1969</v>
  </rv>
  <rv s="2">
    <v>15</v>
  </rv>
  <rv s="0">
    <v>https://en.wikipedia.org/wiki/Microsoft</v>
    <v>Wikipedia</v>
  </rv>
  <rv s="3">
    <v>10</v>
    <v>17</v>
  </rv>
  <rv s="4">
    <v>10</v>
    <v>https://www.bing.com/th?id=AMMS_1435b697418eae5bfbed034f46c28dc4&amp;qlt=95</v>
    <v>18</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11</v>
    <v>280.69450000000001</v>
    <v>196.25</v>
    <v>0.77500000000000002</v>
    <v>-1.4</v>
    <v>-5.0460000000000001E-3</v>
    <v>USD</v>
    <v>Microsoft Corporation is a technology company. The Company develops and supports a range of software products, services, devices, and solutions.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and video games. It also designs, manufactures, and sells devices, including personal computers (PCs), tablets, gaming and entertainment consoles, other intelligent devices, and related accessories. It offers an array of services, including cloud-based solutions that provide customers with software, services, platforms, and content, and it provides solution support and consulting services. It markets and distributes its products and services through original equipment manufacturers, direct, and distributors and resellers.</v>
    <v>163000</v>
    <v>Nasdaq Stock Market</v>
    <v>XNAS</v>
    <v>XNAS</v>
    <v>1 Microsoft Way, REDMOND, WA, 98052-6399 US</v>
    <v>276.93</v>
    <v>19</v>
    <v>Software &amp; IT Services</v>
    <v>Stock</v>
    <v>44386.586452892967</v>
    <v>20</v>
    <v>275.32</v>
    <v>2078865331499</v>
    <v>MICROSOFT CORPORATION</v>
    <v>MICROSOFT CORPORATION</v>
    <v>275.72000000000003</v>
    <v>37.755200000000002</v>
    <v>277.42</v>
    <v>276.02</v>
    <v>7531575000</v>
    <v>MSFT</v>
    <v>MICROSOFT CORPORATION (XNAS:MSFT)</v>
    <v>3629269</v>
    <v>23543847</v>
    <v>1993</v>
  </rv>
  <rv s="2">
    <v>21</v>
  </rv>
  <rv s="0">
    <v>https://www.bing.com/financeapi/forcetrigger?t=a1twnm&amp;q=ARCX%3aGLD&amp;form=skydnc</v>
    <v>Learn more on Bing</v>
  </rv>
  <rv s="1">
    <v>en-US</v>
    <v>a1twnm</v>
    <v>268435456</v>
    <v>1</v>
    <v>Powered by Refinitiv</v>
    <v>0</v>
    <v>SPDR Gold (ARCX:GLD)</v>
    <v>2</v>
    <v>3</v>
    <v>Finance</v>
    <v>12</v>
    <v>194.44990000000001</v>
    <v>157.12970000000001</v>
    <v>0.84140000000000004</v>
    <v>0.53</v>
    <v>3.1430000000000004E-3</v>
    <v>USD</v>
    <v>NYSE Arca</v>
    <v>ARCX</v>
    <v>4.0000000000000001E-3</v>
    <v>169.27500000000001</v>
    <v>ETF</v>
    <v>44386.591531365622</v>
    <v>23</v>
    <v>168.66</v>
    <v>59261840962.360001</v>
    <v>SPDR Gold</v>
    <v>168.84</v>
    <v>168.65</v>
    <v>169.18</v>
    <v>GLD</v>
    <v>SPDR Gold (ARCX:GLD)</v>
    <v>725270</v>
    <v>8768061</v>
  </rv>
  <rv s="2">
    <v>24</v>
  </rv>
  <rv s="0">
    <v>http://en.wikipedia.org/wiki/Best_Buy</v>
    <v>Wikipedia</v>
  </rv>
  <rv s="3">
    <v>10</v>
    <v>26</v>
  </rv>
  <rv s="4">
    <v>10</v>
    <v>https://www.bing.com/th?id=AMMS_834ee863884006e65a95bce7088cf297&amp;qlt=95</v>
    <v>27</v>
    <v>0</v>
    <v>https://www.bing.com/images/search?form=xlimg&amp;q=best+buy</v>
    <v>Image of Best Buy Co., Inc.</v>
  </rv>
  <rv s="0">
    <v>https://www.bing.com/financeapi/forcetrigger?t=a1o9gh&amp;q=XNYS%3aBBY&amp;form=skydnc</v>
    <v>Learn more on Bing</v>
  </rv>
  <rv s="5">
    <v>en-US</v>
    <v>a1o9gh</v>
    <v>268435456</v>
    <v>1</v>
    <v>Powered by Refinitiv</v>
    <v>5</v>
    <v>Best Buy Co., Inc. (XNYS:BBY)</v>
    <v>7</v>
    <v>8</v>
    <v>Finance</v>
    <v>9</v>
    <v>128.57499999999999</v>
    <v>84.070099999999996</v>
    <v>1.5348999999999999</v>
    <v>2.62</v>
    <v>2.4222999999999998E-2</v>
    <v>USD</v>
    <v>Best Buy Co., Inc. is a provider of technology products, services and solutions. The Company offers products and services to the customers visiting its stores, engaging with Geek Squad agents, or using its Websites or mobile applications. It has operations in the United States, Canada and Mexico. The Company operates through two segments: Domestic and International. The Domestic segment consists of the operations in all states, districts and territories of the United States, under various brand names, including Best Buy, bestbuy.com, Best Buy Mobile, Best Buy Direct, Best Buy Express, Geek Squad, Magnolia Home Theater, and Pacific Kitchen and Home. The International segment consists of all operations in Canada and Mexico under the brand names, Best Buy, bestbuy.com.ca, bestbuy.com.mx, Best Buy Express, Best Buy Mobile and Geek Squad. As of December 31, 2016, the Company operated 1,200 large-format and 400 small-format stores throughout its Domestic and International segments.</v>
    <v>102000</v>
    <v>New York Stock Exchange</v>
    <v>XNYS</v>
    <v>XNYS</v>
    <v>7601 Penn Ave S, RICHFIELD, MN, 55423-8500 US</v>
    <v>111.14</v>
    <v>28</v>
    <v>Specialty Retailers</v>
    <v>Stock</v>
    <v>44386.598614200782</v>
    <v>29</v>
    <v>109</v>
    <v>27747398940</v>
    <v>Best Buy Co., Inc.</v>
    <v>Best Buy Co., Inc.</v>
    <v>109.08</v>
    <v>12.674099999999999</v>
    <v>108.16</v>
    <v>110.78</v>
    <v>250473000</v>
    <v>BBY</v>
    <v>Best Buy Co., Inc. (XNYS:BBY)</v>
    <v>386131</v>
    <v>2185318</v>
    <v>1966</v>
  </rv>
  <rv s="2">
    <v>30</v>
  </rv>
  <rv s="0">
    <v>https://www.bing.com/financeapi/forcetrigger?t=bq5ppr&amp;q=XNYS%3aRVLV&amp;form=skydnc</v>
    <v>Learn more on Bing</v>
  </rv>
  <rv s="6">
    <v>en-US</v>
    <v>bq5ppr</v>
    <v>268435456</v>
    <v>1</v>
    <v>Powered by Refinitiv</v>
    <v>13</v>
    <v>REVOLVE GROUP, INC. (XNYS:RVLV)</v>
    <v>14</v>
    <v>15</v>
    <v>Finance</v>
    <v>9</v>
    <v>73.375</v>
    <v>15.170999999999999</v>
    <v>3.2549999999999999</v>
    <v>4.9755000000000001E-2</v>
    <v>USD</v>
    <v>Revolve Group, Inc. is an online fashion retailer for Millennial and Generation Z consumers. The Company’s offering includes over 45,000 apparel, footwear, accessories and beauty style products sourced from more than 500 third party brands, alongside the Company’s owned brands. It sells merchandise through two segments: REVOLVE and FORWARD. REVOLVE offers a curated assortment of apparel and footwear, accessories and beauty products. FORWARD offers a full assortment of luxury brands. It's platform connects a community of engaged consumers with it's global network of over 4,500 fashion influencers. The Company’s apparel offerings are primarily for women in various categories, which include dresses, tops, active wear, denim, intimates, jackets and coats, jumpsuits, loungewear, pants, rompers, shorts, skirts, sweaters and knits and swimwear.</v>
    <v>843</v>
    <v>New York Stock Exchange</v>
    <v>XNYS</v>
    <v>XNYS</v>
    <v>12889 Moore St, CERRITOS, CA, 90703-2122 US</v>
    <v>68.8</v>
    <v>Diversified Retail</v>
    <v>Stock</v>
    <v>44386.5947896875</v>
    <v>32</v>
    <v>65.89</v>
    <v>4958775206</v>
    <v>REVOLVE GROUP, INC.</v>
    <v>REVOLVE GROUP, INC.</v>
    <v>66.23</v>
    <v>63.110799999999998</v>
    <v>65.42</v>
    <v>68.674999999999997</v>
    <v>72206410</v>
    <v>RVLV</v>
    <v>REVOLVE GROUP, INC. (XNYS:RVLV)</v>
    <v>120781</v>
    <v>1338158</v>
    <v>2018</v>
  </rv>
  <rv s="2">
    <v>33</v>
  </rv>
  <rv s="0">
    <v>http://en.wikipedia.org/wiki/Costco</v>
    <v>Wikipedia</v>
  </rv>
  <rv s="3">
    <v>10</v>
    <v>35</v>
  </rv>
  <rv s="4">
    <v>10</v>
    <v>https://www.bing.com/th?id=AMMS_90a82bf7d9bf620ad2bd5ec79a4882af&amp;qlt=95</v>
    <v>36</v>
    <v>0</v>
    <v>https://www.bing.com/images/search?form=xlimg&amp;q=costco</v>
    <v>Image of COSTCO WHOLESALE CORPORATION</v>
  </rv>
  <rv s="0">
    <v>https://www.bing.com/financeapi/forcetrigger?t=a1q6k2&amp;q=XNAS%3aCOST&amp;form=skydnc</v>
    <v>Learn more on Bing</v>
  </rv>
  <rv s="5">
    <v>en-US</v>
    <v>a1q6k2</v>
    <v>268435456</v>
    <v>1</v>
    <v>Powered by Refinitiv</v>
    <v>5</v>
    <v>COSTCO WHOLESALE CORPORATION (XNAS:COST)</v>
    <v>7</v>
    <v>8</v>
    <v>Finance</v>
    <v>9</v>
    <v>410.2</v>
    <v>307</v>
    <v>0.64859999999999995</v>
    <v>2.6269999999999998</v>
    <v>6.4520000000000003E-3</v>
    <v>USD</v>
    <v>Costco Wholesale Corporation is engaged in the operation of membership warehouses in the United States and Puerto Rico, Canada, the United Kingdom, Mexico, Japan, Australia, Spain, and through its subsidiaries in Taiwan and Korea. As of August 28, 2016, the Company operated 715 warehouses across the world. The Company's average warehouse space is approximately 144,000 square feet. The Company's warehouses on average operate on a seven-day, 70-hour week. The Company offers merchandise in various categories, which include foods (including dry foods, packaged foods and groceries); sundries (including snack foods, candy, alcoholic and nonalcoholic beverages, and cleaning supplies); hardlines (including appliances, electronics, health and beauty aids, hardware, and garden and patio); fresh foods (including meat, produce, deli and bakery); softlines (including apparel and small appliances), and other (including gas stations and pharmacy).</v>
    <v>156000</v>
    <v>Nasdaq Stock Market</v>
    <v>XNAS</v>
    <v>XNAS</v>
    <v>999 Lake Dr, ISSAQUAH, WA, 98027-8990 US</v>
    <v>410.2</v>
    <v>37</v>
    <v>Diversified Retail</v>
    <v>Stock</v>
    <v>44386.601716388279</v>
    <v>38</v>
    <v>407.59</v>
    <v>181149749590</v>
    <v>COSTCO WHOLESALE CORPORATION</v>
    <v>COSTCO WHOLESALE CORPORATION</v>
    <v>408.55</v>
    <v>38.275199999999998</v>
    <v>407.15</v>
    <v>409.77699999999999</v>
    <v>442069100</v>
    <v>COST</v>
    <v>COSTCO WHOLESALE CORPORATION (XNAS:COST)</v>
    <v>435586</v>
    <v>1813589</v>
    <v>1987</v>
  </rv>
  <rv s="2">
    <v>39</v>
  </rv>
  <rv s="0">
    <v>http://en.wikipedia.org/wiki/Chegg</v>
    <v>Wikipedia</v>
  </rv>
  <rv s="3">
    <v>10</v>
    <v>41</v>
  </rv>
  <rv s="4">
    <v>10</v>
    <v>https://www.bing.com/th?id=AMMS_05cec83d4faa25b23085648b2435df90&amp;qlt=95</v>
    <v>42</v>
    <v>0</v>
    <v>https://www.bing.com/images/search?form=xlimg&amp;q=chegg</v>
    <v>Image of CHEGG, INC.</v>
  </rv>
  <rv s="0">
    <v>https://www.bing.com/financeapi/forcetrigger?t=a1plyc&amp;q=XNYS%3aCHGG&amp;form=skydnc</v>
    <v>Learn more on Bing</v>
  </rv>
  <rv s="5">
    <v>en-US</v>
    <v>a1plyc</v>
    <v>268435456</v>
    <v>1</v>
    <v>Powered by Refinitiv</v>
    <v>5</v>
    <v>CHEGG, INC. (XNYS:CHGG)</v>
    <v>7</v>
    <v>8</v>
    <v>Finance</v>
    <v>9</v>
    <v>115.21</v>
    <v>62.84</v>
    <v>0.82899999999999996</v>
    <v>0.13</v>
    <v>1.542E-3</v>
    <v>USD</v>
    <v>Chegg, Inc. is a student-first connected learning platform. The Company helps students study for college admission exams, find the colleges, get grades and test scores while in school, and find internships that allow them to gain skills to help them enter the workforce after college. The Company matches domestic and international students with colleges, universities and other academic institutions (collectively referred to as colleges) in the United States. It also offers eTextbooks library for rent and sale. The Company also has live tutors on its connected learning platform available to students online, anytime, anywhere through its Chegg Tutors service. It provides access to internships to help students gain skills that are critical to securing their first job. It offers two product lines: Required Materials and Chegg Services. The Required Materials product line includes the rental and sale of print textbooks and eTextbooks, as well as the commission it receives from Ingram.</v>
    <v>1616</v>
    <v>New York Stock Exchange</v>
    <v>XNYS</v>
    <v>XNYS</v>
    <v>3990 Freedom Cir, SANTA CLARA, CA, 95054-1204 US</v>
    <v>85.37</v>
    <v>43</v>
    <v>Professional &amp; Commercial Services</v>
    <v>Stock</v>
    <v>44386.599931469529</v>
    <v>44</v>
    <v>83.99</v>
    <v>11982161142</v>
    <v>CHEGG, INC.</v>
    <v>CHEGG, INC.</v>
    <v>84.32</v>
    <v>0</v>
    <v>84.29</v>
    <v>84.42</v>
    <v>141935100</v>
    <v>CHGG</v>
    <v>CHEGG, INC. (XNYS:CHGG)</v>
    <v>79190</v>
    <v>1152006</v>
    <v>2005</v>
  </rv>
  <rv s="2">
    <v>45</v>
  </rv>
  <rv s="1">
    <v>en-US</v>
    <v>a23hqh</v>
    <v>268435456</v>
    <v>1</v>
    <v>Powered by Refinitiv</v>
    <v>0</v>
    <v>SPDR S&amp;P 500 ETF (ARCX:SPY)</v>
    <v>2</v>
    <v>3</v>
    <v>Finance</v>
    <v>12</v>
    <v>434.76</v>
    <v>310.68</v>
    <v>0.99639999999999995</v>
    <v>3.2250000000000001</v>
    <v>7.4839999999999993E-3</v>
    <v>USD</v>
    <v>NYSE Arca</v>
    <v>ARCX</v>
    <v>8.9999999999999998E-4</v>
    <v>434.38</v>
    <v>ETF</v>
    <v>44386.603492928123</v>
    <v>0</v>
    <v>432.31</v>
    <v>374031322873.47998</v>
    <v>SPDR S&amp;P 500 ETF</v>
    <v>432.54</v>
    <v>430.92</v>
    <v>434.14499999999998</v>
    <v>SPY</v>
    <v>SPDR S&amp;P 500 ETF (ARCX:SPY)</v>
    <v>13159308</v>
    <v>58467750</v>
  </rv>
  <rv s="2">
    <v>47</v>
  </rv>
  <rv s="0">
    <v>http://nl.wikipedia.org/wiki/Apple_Inc.</v>
    <v>Wikipedia</v>
  </rv>
  <rv s="3">
    <v>10</v>
    <v>49</v>
  </rv>
  <rv s="4">
    <v>10</v>
    <v>https://www.bing.com/th?id=AMMS_5bc8393c85a56e6bb6524ea7b3970bad&amp;qlt=95</v>
    <v>50</v>
    <v>0</v>
    <v>https://www.bing.com/images/search?form=xlimg&amp;q=apple+inc</v>
    <v>Image of APPLE INC.</v>
  </rv>
  <rv s="0">
    <v>https://www.bing.com/financeapi/forcetrigger?t=a1mou2&amp;q=XNAS%3aAAPL&amp;form=skydnc</v>
    <v>Learn more on Bing</v>
  </rv>
  <rv s="5">
    <v>en-US</v>
    <v>a1mou2</v>
    <v>268435456</v>
    <v>1</v>
    <v>Powered by Refinitiv</v>
    <v>5</v>
    <v>APPLE INC. (XNAS:AAPL)</v>
    <v>7</v>
    <v>8</v>
    <v>Finance</v>
    <v>9</v>
    <v>145.09</v>
    <v>89.144999999999996</v>
    <v>1.1991000000000001</v>
    <v>0.96499999999999997</v>
    <v>6.7369999999999999E-3</v>
    <v>USD</v>
    <v>Apple Inc. designs, manufactures and markets smartphones, personal computers, tablets, wearables and accessories, and sells a variety of related services. The Company’s products include iPhone, Mac, iPad, and Wearables, Home and Accessories. iPhone is the Company’s line of smartphones based on its iOS operating system. Mac is the Company’s line of personal computers based on its macOS operating system. iPad is the Company’s line of multi-purpose tablets based on its iPadOS operating system. Wearables, Home and Accessories includes AirPods, Apple TV, Apple Watch, Beats products, HomePod, iPod touch and other Apple-branded and third-party accessories. AirPods are the Company’s wireless headphones that interact with Siri. Apple Watch is the Company’s line of smart watches. Its services include Advertising, AppleCare, Cloud Services, Digital Content and Payment Services. Its customers are primarily in the consumer, small and mid-sized business, education, enterprise and government markets.</v>
    <v>147000</v>
    <v>Nasdaq Stock Market</v>
    <v>XNAS</v>
    <v>XNAS</v>
    <v>1 Apple Park Way, CUPERTINO, CA, 95014-0642 US</v>
    <v>144.59</v>
    <v>51</v>
    <v>Computers, Phones &amp; Household Electronics</v>
    <v>Stock</v>
    <v>44386.605167661721</v>
    <v>52</v>
    <v>142.65219999999999</v>
    <v>2406439684150</v>
    <v>APPLE INC.</v>
    <v>APPLE INC.</v>
    <v>142.76</v>
    <v>31.406099999999999</v>
    <v>143.24</v>
    <v>144.20500000000001</v>
    <v>16687630000</v>
    <v>AAPL</v>
    <v>APPLE INC. (XNAS:AAPL)</v>
    <v>23231474</v>
    <v>72373300</v>
    <v>1977</v>
  </rv>
  <rv s="2">
    <v>53</v>
  </rv>
  <rv s="1">
    <v>en-US</v>
    <v>a23hqh</v>
    <v>268435456</v>
    <v>1</v>
    <v>Powered by Refinitiv</v>
    <v>0</v>
    <v>SPDR S&amp;P 500 ETF (ARCX:SPY)</v>
    <v>2</v>
    <v>3</v>
    <v>Finance</v>
    <v>4</v>
    <v>434.76</v>
    <v>310.68</v>
    <v>0.99639999999999995</v>
    <v>3.1349999999999998</v>
    <v>7.2750000000000002E-3</v>
    <v>USD</v>
    <v>NYSE Arca</v>
    <v>ARCX</v>
    <v>8.9999999999999998E-4</v>
    <v>434.16</v>
    <v>ETF</v>
    <v>44386.596503946093</v>
    <v>0</v>
    <v>432.31</v>
    <v>374031322873.47998</v>
    <v>SPDR S&amp;P 500 ETF</v>
    <v>432.53</v>
    <v>430.92</v>
    <v>434.05500000000001</v>
    <v>SPY</v>
    <v>SPDR S&amp;P 500 ETF (ARCX:SPY)</v>
    <v>11326488</v>
    <v>58467750</v>
  </rv>
  <rv s="2">
    <v>55</v>
  </rv>
  <rv s="1">
    <v>en-US</v>
    <v>a23hqh</v>
    <v>268435456</v>
    <v>1</v>
    <v>Powered by Refinitiv</v>
    <v>0</v>
    <v>SPDR S&amp;P 500 ETF (ARCX:SPY)</v>
    <v>2</v>
    <v>3</v>
    <v>Finance</v>
    <v>12</v>
    <v>434.76</v>
    <v>310.68</v>
    <v>0.99639999999999995</v>
    <v>3.22</v>
    <v>7.4719999999999995E-3</v>
    <v>USD</v>
    <v>NYSE Arca</v>
    <v>ARCX</v>
    <v>8.9999999999999998E-4</v>
    <v>434.38</v>
    <v>ETF</v>
    <v>44386.609308159372</v>
    <v>0</v>
    <v>432.31</v>
    <v>374031322873.47998</v>
    <v>SPDR S&amp;P 500 ETF</v>
    <v>432.54</v>
    <v>430.92</v>
    <v>434.14</v>
    <v>SPY</v>
    <v>SPDR S&amp;P 500 ETF (ARCX:SPY)</v>
    <v>14596581</v>
    <v>58467750</v>
  </rv>
  <rv s="2">
    <v>57</v>
  </rv>
  <rv s="0">
    <v>https://www.bing.com/financeapi/forcetrigger?t=a33pk2&amp;q=CBOE+MKT+VOLATILITY+IDX&amp;form=skydnc</v>
    <v>Learn more on Bing</v>
  </rv>
  <rv s="7">
    <v>en-US</v>
    <v>a33pk2</v>
    <v>268435456</v>
    <v>1</v>
    <v>Powered by Refinitiv</v>
    <v>16</v>
    <v>CBOE MKT VOLATILITY IDX</v>
    <v>2</v>
    <v>17</v>
    <v>Finance</v>
    <v>18</v>
    <v>41.16</v>
    <v>14.1</v>
    <v>-2.4700000000000002</v>
    <v>-0.13</v>
    <v>US</v>
    <v>18.13</v>
    <v>Index</v>
    <v>59</v>
    <v>16.52</v>
    <v>CBOE MKT VOLATILITY IDX</v>
    <v>17.88</v>
    <v>19</v>
    <v>16.53</v>
    <v>VIX</v>
    <v>CBOE MKT VOLATILITY IDX</v>
  </rv>
  <rv s="2">
    <v>60</v>
  </rv>
  <rv s="0">
    <v>https://www.bing.com/financeapi/forcetrigger?t=a21icw&amp;q=XNAS%3aPYPL&amp;form=skydnc</v>
    <v>Learn more on Bing</v>
  </rv>
  <rv s="8">
    <v>en-US</v>
    <v>a21icw</v>
    <v>268435456</v>
    <v>1</v>
    <v>Powered by Refinitiv</v>
    <v>19</v>
    <v>PAYPAL HOLDINGS, INC. (XNAS:PYPL)</v>
    <v>14</v>
    <v>20</v>
    <v>Finance</v>
    <v>11</v>
    <v>309.14</v>
    <v>164.33</v>
    <v>1.1679999999999999</v>
    <v>2.09</v>
    <v>7.084E-3</v>
    <v>USD</v>
    <v>PayPal Holdings, Inc. is a technology platform and digital payments company that enables digital and mobile payments on behalf of consumers and merchants. The Company's combined payment solutions, including its PayPal, PayPal Credit, Braintree, Venmo, Xoom, iZettle, and Hyperwallet products and services, comprise its Payments Platform. It operates a two-sided network that links its customers around the globe to facilitate the processing of payment transactions, allowing it to connect merchants and consumers. The Company allows its customers to use their account for both purchase and paying for goods, as well as to transfer and withdraw funds. It enables consumers to exchange funds with merchants using funding sources, which include bank account, PayPal account balance, PayPal Credit account, credit and debit card or other stored value products. The Company also offers consumers person-to-person (P2P) payment solutions through its PayPal Website and mobile application, Venmo and Xoom.</v>
    <v>26500</v>
    <v>Nasdaq Stock Market</v>
    <v>XNAS</v>
    <v>XNAS</v>
    <v>2211 N 1st St, SAN JOSE, CA, 95131 US</v>
    <v>297.64490000000001</v>
    <v>Software &amp; IT Services</v>
    <v>Stock</v>
    <v>44386.602741943752</v>
    <v>62</v>
    <v>295</v>
    <v>349058677920</v>
    <v>PAYPAL HOLDINGS, INC.</v>
    <v>PAYPAL HOLDINGS, INC.</v>
    <v>296.41000000000003</v>
    <v>67.226900000000001</v>
    <v>295.05</v>
    <v>297.14</v>
    <v>1174728000</v>
    <v>PYPL</v>
    <v>PAYPAL HOLDINGS, INC. (XNAS:PYPL)</v>
    <v>1116910</v>
    <v>5841999</v>
    <v>2015</v>
  </rv>
  <rv s="2">
    <v>63</v>
  </rv>
  <rv s="0">
    <v>http://en.wikipedia.org/wiki/PayPal</v>
    <v>Wikipedia</v>
  </rv>
  <rv s="3">
    <v>10</v>
    <v>65</v>
  </rv>
  <rv s="9">
    <v>https://www.bing.com/th?id=AMMS_bc2242417f29715aa50cc3bc4472fc18&amp;qlt=95</v>
    <v>66</v>
    <v>https://www.bing.com/images/search?form=xlimg&amp;q=paypal</v>
    <v>Image of PAYPAL HOLDINGS, INC.</v>
  </rv>
  <rv s="10">
    <v>en-US</v>
    <v>a21icw</v>
    <v>268435456</v>
    <v>268435457</v>
    <v>1</v>
    <v>Powered by Refinitiv</v>
    <v>21</v>
    <v>PAYPAL HOLDINGS, INC. (XNAS:PYPL)</v>
    <v>22</v>
    <v>23</v>
    <v>Finance</v>
    <v>11</v>
    <v>216.07</v>
    <v>82.07</v>
    <v>1.0884</v>
    <v>-3.07</v>
    <v>-1.4315E-2</v>
    <v>USD</v>
    <v>PayPal Holdings, Inc. is a technology platform and digital payments company that enables digital and mobile payments on behalf of consumers and merchants. The Company's combined payment solutions, including its PayPal, PayPal Credit, Braintree, Venmo, Xoom and Paydiant products, compose its Payments Platform. It operates a two-sided global technology platform that links its customers, both merchants and consumers, around the globe to facilitate the processing of payment transactions, allowing it to connect merchants and consumers. It allows its customers to use their account for both purchase and paying for goods, as well as to transfer and withdraw funds. It enables consumers to exchange funds with merchants using funding sources, which include bank account, PayPal account balance, PayPal Credit account, credit and debit card or other stored value products. It offers consumers person-to-person payment solutions through its PayPal Website and mobile application, Venmo and Xoom.</v>
    <v>23200</v>
    <v>Nasdaq Stock Market</v>
    <v>XNAS</v>
    <v>XNAS</v>
    <v>2211 N 1st St, SAN JOSE, CA, 95131 US</v>
    <v>213.84</v>
    <v>67</v>
    <v>Software &amp; IT Services</v>
    <v>Stock</v>
    <v>44162.91658192109</v>
    <v>62</v>
    <v>208.62</v>
    <v>251281000000</v>
    <v>PAYPAL HOLDINGS, INC.</v>
    <v>PAYPAL HOLDINGS, INC.</v>
    <v>213.2</v>
    <v>80.993399999999994</v>
    <v>214.46</v>
    <v>211.39</v>
    <v>1171692000</v>
    <v>PYPL</v>
    <v>PAYPAL HOLDINGS, INC. (XNAS:PYPL)</v>
    <v>5363151</v>
    <v>11410086</v>
    <v>2015</v>
  </rv>
  <rv s="2">
    <v>68</v>
  </rv>
  <rv s="0">
    <v>http://de.wikipedia.org/wiki/Plug_Power</v>
    <v>Wikipedia</v>
  </rv>
  <rv s="3">
    <v>10</v>
    <v>70</v>
  </rv>
  <rv s="9">
    <v>https://www.bing.com/th?id=AMMS_3179995f024bdcb99086a268afbbfd04&amp;qlt=95</v>
    <v>71</v>
    <v>https://www.bing.com/images/search?form=xlimg&amp;q=plug+power</v>
    <v>Image of PLUG POWER INC.</v>
  </rv>
  <rv s="0">
    <v>https://www.bing.com/financeapi/forcetrigger?t=a1zyw7&amp;q=XNAS%3aPLUG&amp;form=skydnc</v>
    <v>Learn more on Bing</v>
  </rv>
  <rv s="11">
    <v>en-US</v>
    <v>a1zyw7</v>
    <v>268435456</v>
    <v>268435457</v>
    <v>1</v>
    <v>Powered by Refinitiv</v>
    <v>24</v>
    <v>PLUG POWER INC. (XNAS:PLUG)</v>
    <v>22</v>
    <v>25</v>
    <v>Finance</v>
    <v>11</v>
    <v>28.7</v>
    <v>2.5299999999999998</v>
    <v>1.7870999999999999</v>
    <v>0.08</v>
    <v>3.058E-3</v>
    <v>USD</v>
    <v>Plug Power Inc. is a provider of alternative energy technology focused on the design, development, commercialization and manufacture of hydrogen fuel cell systems used for the industrial off-road market and the stationary power market. The Company's product line includes GenKey, GenDrive, GenFuel, GenCare and ReliOn. GenKey offers solutions to customers transitioning their material handling vehicles to fuel cell power. GenDrive is a hydrogen fueled proton exchange membrane (PEM) fuel cell system. It provides power to material handling vehicles. GenFuel is a hydrogen fueling delivery system. It is designed to allow customers to refuel its GenDrive units for productivity. GenCare is an ongoing maintenance program for both the GenDrive fuel cells and GenFuel products. ReliOn is a stationary fuel cell solution. It provides scalable, modular PEM fuel cell power to support the backup and grid-support power requirements of the telecommunications, transportation and utility sectors.</v>
    <v>835</v>
    <v>Nasdaq Stock Market</v>
    <v>XNAS</v>
    <v>XNAS</v>
    <v>968 Albany Shaker Rd, LATHAM, NY, 12110-1401 US</v>
    <v>27.78</v>
    <v>72</v>
    <v>Renewable Energy</v>
    <v>Stock</v>
    <v>44162.915248263278</v>
    <v>73</v>
    <v>25.66</v>
    <v>11578300000</v>
    <v>PLUG POWER INC.</v>
    <v>PLUG POWER INC.</v>
    <v>26.99</v>
    <v>26.16</v>
    <v>26.24</v>
    <v>442595600</v>
    <v>PLUG</v>
    <v>PLUG POWER INC. (XNAS:PLUG)</v>
    <v>23115648</v>
    <v>38422373</v>
    <v>1999</v>
  </rv>
  <rv s="2">
    <v>74</v>
  </rv>
  <rv s="0">
    <v>https://creativecommons.org/licenses/by-sa/4.0</v>
    <v>CC BY-SA 4.0</v>
  </rv>
  <rv s="0">
    <v>http://ja.wikipedia.org/wiki/アリババグループ</v>
    <v>Wikipedia</v>
  </rv>
  <rv s="3">
    <v>76</v>
    <v>77</v>
  </rv>
  <rv s="9">
    <v>https://www.bing.com/th?id=AMMS_b2f33d5d2358b9d884851aee92d8d6cf&amp;qlt=95</v>
    <v>78</v>
    <v>https://www.bing.com/images/search?form=xlimg&amp;q=alibaba+group</v>
    <v>Image of Alibaba Group Holding Limited</v>
  </rv>
  <rv s="10">
    <v>en-US</v>
    <v>a1o4mw</v>
    <v>268435456</v>
    <v>268435457</v>
    <v>1</v>
    <v>Powered by Refinitiv</v>
    <v>21</v>
    <v>Alibaba Group Holding Limited (XNYS:BABA)</v>
    <v>22</v>
    <v>26</v>
    <v>Finance</v>
    <v>11</v>
    <v>319.32</v>
    <v>169.95</v>
    <v>1.0642</v>
    <v>-1.24</v>
    <v>-4.4650000000000002E-3</v>
    <v>USD</v>
    <v>ALIBABA GROUP HOLDING LIMITED is a holding company that provides the technology infrastructure and marketing reach to help merchants, brands and other businesses to leverage the power of new technology to engage with users and customers to operate. The Company operates four business segments. The Core Commerce segment provides China retail, China wholesale, International retail, International wholesale, Cainiao logistics services and local consumer services through Taobao Marketplace and Tmall. The Cloud Computing segment provides complete suite of cloud services, including database, storage, network virtualization services, big data analytics and others. The Digital Media and Entertainment segment provides consumer services beyond the core business operations. The Innovation Initiatives and Others segment is to innovate and deliver new services and products.</v>
    <v>122399</v>
    <v>New York Stock Exchange</v>
    <v>XNYS</v>
    <v>XNYS</v>
    <v>No.969 Wenyi West Road, Yuhang District, HANGZHOU, ZHEJIANG, 311121 CN</v>
    <v>278.92</v>
    <v>79</v>
    <v>Software &amp; IT Services</v>
    <v>Stock</v>
    <v>44162.916666712503</v>
    <v>7</v>
    <v>275.66559999999998</v>
    <v>751512300000</v>
    <v>Alibaba Group Holding Limited</v>
    <v>Alibaba Group Holding Limited</v>
    <v>278.8</v>
    <v>38.827199999999998</v>
    <v>277.72000000000003</v>
    <v>276.48</v>
    <v>2705637000</v>
    <v>BABA</v>
    <v>Alibaba Group Holding Limited (XNYS:BABA)</v>
    <v>9583197</v>
    <v>24876512</v>
    <v>1999</v>
  </rv>
  <rv s="2">
    <v>80</v>
  </rv>
  <rv s="12">
    <v>en-US</v>
    <v>a33pk2</v>
    <v>268435456</v>
    <v>268435460</v>
    <v>1</v>
    <v>Powered by Refinitiv</v>
    <v>27</v>
    <v>CBOE MKT VOLATILITY IDX</v>
    <v>28</v>
    <v>29</v>
    <v>Finance</v>
    <v>18</v>
    <v>85.47</v>
    <v>11.71</v>
    <v>0.27</v>
    <v>1.3126000000000001E-2</v>
    <v>US</v>
    <v>20.92</v>
    <v>Index</v>
    <v>59</v>
    <v>20</v>
    <v>CBOE MKT VOLATILITY IDX</v>
    <v>20.21</v>
    <v>20.57</v>
    <v>20.84</v>
    <v>VIX</v>
    <v>CBOE MKT VOLATILITY IDX</v>
  </rv>
  <rv s="2">
    <v>82</v>
  </rv>
  <rv s="13">
    <v>en-US</v>
    <v>a23hqh</v>
    <v>268435456</v>
    <v>268435459</v>
    <v>1</v>
    <v>Powered by Refinitiv</v>
    <v>30</v>
    <v>SPDR S&amp;P 500 ETF (ARCX:SPY)</v>
    <v>28</v>
    <v>31</v>
    <v>Finance</v>
    <v>12</v>
    <v>364.38</v>
    <v>218.26</v>
    <v>0.99629999999999996</v>
    <v>-2.6</v>
    <v>-7.149E-3</v>
    <v>USD</v>
    <v>NYSE Arca</v>
    <v>ARCX</v>
    <v>8.9999999999999998E-4</v>
    <v>363.12</v>
    <v>ETF</v>
    <v>44165.777477025003</v>
    <v>0</v>
    <v>359.17</v>
    <v>324703917213.46002</v>
    <v>SPDR S&amp;P 500 ETF</v>
    <v>362.81</v>
    <v>363.71</v>
    <v>361.11</v>
    <v>SPY</v>
    <v>SPDR S&amp;P 500 ETF (ARCX:SPY)</v>
    <v>32391965</v>
    <v>77904548</v>
  </rv>
  <rv s="2">
    <v>84</v>
  </rv>
  <rv s="0">
    <v>https://www.bing.com/financeapi/forcetrigger?t=bvsk7w&amp;q=XNYS%3aPLTR&amp;form=skydnc</v>
    <v>Learn more on Bing</v>
  </rv>
  <rv s="14">
    <v>en-US</v>
    <v>bvsk7w</v>
    <v>268435456</v>
    <v>268435457</v>
    <v>1</v>
    <v>Powered by Refinitiv</v>
    <v>32</v>
    <v>PALANTIR TECHNOLOGIES INC. (XNYS:PLTR)</v>
    <v>33</v>
    <v>34</v>
    <v>Finance</v>
    <v>11</v>
    <v>29.75</v>
    <v>8.9</v>
    <v>-1.39</v>
    <v>-4.7849000000000003E-2</v>
    <v>USD</v>
    <v>Palantir Technologies Inc. builds software platforms for institutions. The Company operates two segments: commercial, which serves customers working in non-government industries, and government, which serves customers that are agencies in the United States federal government and non-United States governments. It has built two software platforms, Palantir Gotham (Gotham) and Palantir Foundry (Foundry). Gotham is a software platform, which is constructed for analysts at defense and intelligence agencies. Gotham enables users to identify patterns hidden within datasets, ranging from signals intelligence sources to reports from informants, and helps the United States and allied military personnel. Foundry creates a central operating system for organization’s data. Individual users can integrate and analyze the data.</v>
    <v>2464</v>
    <v>New York Stock Exchange</v>
    <v>XNYS</v>
    <v>XNYS</v>
    <v>1555 Blake Street, Suite 250, DENVER, CO, 80202 US</v>
    <v>33.5</v>
    <v>Software &amp; IT Services</v>
    <v>Stock</v>
    <v>44162.916666700781</v>
    <v>86</v>
    <v>26.12</v>
    <v>48184980000</v>
    <v>PALANTIR TECHNOLOGIES INC.</v>
    <v>PALANTIR TECHNOLOGIES INC.</v>
    <v>31.19</v>
    <v>0</v>
    <v>29.05</v>
    <v>27.66</v>
    <v>PLTR</v>
    <v>PALANTIR TECHNOLOGIES INC. (XNYS:PLTR)</v>
    <v>207834002</v>
    <v>59637762</v>
    <v>2003</v>
  </rv>
  <rv s="2">
    <v>87</v>
  </rv>
  <rv s="0">
    <v>http://en.wikipedia.org/wiki/AMC_Theatres</v>
    <v>Wikipedia</v>
  </rv>
  <rv s="3">
    <v>10</v>
    <v>89</v>
  </rv>
  <rv s="9">
    <v>https://www.bing.com/th?id=AMMS_beb35548a531e1b96429505c22a3eab4&amp;qlt=95</v>
    <v>90</v>
    <v>https://www.bing.com/images/search?form=xlimg&amp;q=amc+theatres</v>
    <v>Image of AMC ENTERTAINMENT HOLDINGS, INC.</v>
  </rv>
  <rv s="0">
    <v>https://www.bing.com/financeapi/forcetrigger?t=a1ndlh&amp;q=XNYS%3aAMC&amp;form=skydnc</v>
    <v>Learn more on Bing</v>
  </rv>
  <rv s="15">
    <v>en-US</v>
    <v>a1ndlh</v>
    <v>268435456</v>
    <v>268435457</v>
    <v>1</v>
    <v>Powered by Refinitiv</v>
    <v>35</v>
    <v>AMC ENTERTAINMENT HOLDINGS, INC. (XNYS:AMC)</v>
    <v>22</v>
    <v>36</v>
    <v>Finance</v>
    <v>37</v>
    <v>7.78</v>
    <v>1.91</v>
    <v>2.5352000000000001</v>
    <v>3.5000000000000003E-2</v>
    <v>4.8780000000000004E-3</v>
    <v>1.737E-2</v>
    <v>0.01</v>
    <v>USD</v>
    <v>AMC Entertainment Holdings, Inc. is a holding company. The Company, through its subsidiaries, including AMC Entertainment Inc. (AMCE), American Multi-Cinema, Inc. (OpCo) and its subsidiaries, is engaged in the theatrical exhibition business. It operates through theatrical exhibition operations segment. It licenses first-run motion pictures from distributors owned by film production companies and from independent distributors. The Company also offers a range of food and beverage items, which include popcorn; soft drinks; candy; hot dogs; specialty drinks, including beers, wine and mixed drinks, and made to order hot foods, including menu choices, such as curly fries, chicken tenders and mozzarella sticks. It operates over 900 theatres with approximately 10,000 screens globally, including over 661 theatres with approximately 8,200 screens in the United States and over 244 theatres with approximately 2,200 screens in Europe. The Company’s subsidiary also includes Carmike Cinemas, Inc.</v>
    <v>3952</v>
    <v>New York Stock Exchange</v>
    <v>XNYS</v>
    <v>XNYS</v>
    <v>11500 Ash St, LEAWOOD, KS, 66211-7804 US</v>
    <v>2.11</v>
    <v>91</v>
    <v>Hotels &amp; Entertainment Services</v>
    <v>Stock</v>
    <v>44203.977074849216</v>
    <v>92</v>
    <v>2.02</v>
    <v>322943000</v>
    <v>AMC ENTERTAINMENT HOLDINGS, INC.</v>
    <v>AMC ENTERTAINMENT HOLDINGS, INC.</v>
    <v>2.09</v>
    <v>0</v>
    <v>2.0150000000000001</v>
    <v>2.0499999999999998</v>
    <v>2.06</v>
    <v>160668200</v>
    <v>AMC</v>
    <v>AMC ENTERTAINMENT HOLDINGS, INC. (XNYS:AMC)</v>
    <v>26028213</v>
    <v>29579033</v>
    <v>2007</v>
  </rv>
  <rv s="2">
    <v>93</v>
  </rv>
  <rv s="0">
    <v>http://en.wikipedia.org/wiki/JPMorgan_Chase</v>
    <v>Wikipedia</v>
  </rv>
  <rv s="3">
    <v>10</v>
    <v>95</v>
  </rv>
  <rv s="9">
    <v>https://www.bing.com/th?id=AMMS_06392bb84e5fdc62d2356a2306f4ae1e&amp;qlt=95</v>
    <v>96</v>
    <v>https://www.bing.com/images/search?form=xlimg&amp;q=jpmorgan+chase</v>
    <v>Image of JPMORGAN CHASE &amp; CO.</v>
  </rv>
  <rv s="0">
    <v>https://www.bing.com/financeapi/forcetrigger?t=a1waa2&amp;q=XNYS%3aJPM&amp;form=skydnc</v>
    <v>Learn more on Bing</v>
  </rv>
  <rv s="10">
    <v>en-US</v>
    <v>a1waa2</v>
    <v>268435456</v>
    <v>268435457</v>
    <v>1</v>
    <v>Powered by Refinitiv</v>
    <v>21</v>
    <v>JPMORGAN CHASE &amp; CO. (XNYS:JPM)</v>
    <v>22</v>
    <v>23</v>
    <v>Finance</v>
    <v>9</v>
    <v>141.1</v>
    <v>76.91</v>
    <v>1.2134</v>
    <v>2.415</v>
    <v>2.0161999999999999E-2</v>
    <v>USD</v>
    <v>JPMorgan Chase &amp; Co. is a financial holding company. The Company is engaged in investment banking, financial services. It operates in four segments, as well as a Corporate segment. Its segments are Consumer &amp; Community Banking, Corporate &amp; Investment Bank, Commercial Banking and Asset Management. The Consumer &amp; Community Banking segment offers services to consumers and businesses through bank branches, automatic teller machines (ATMs), online, mobile and telephone banking. The Corporate &amp; Investment Bank segment, comprising Banking and Markets &amp;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v>256358</v>
    <v>New York Stock Exchange</v>
    <v>XNYS</v>
    <v>XNYS</v>
    <v>383 Madison Ave, NEW YORK, NY, 10017-3217 US</v>
    <v>122.30889999999999</v>
    <v>97</v>
    <v>Banking Services</v>
    <v>Stock</v>
    <v>44167.865635416405</v>
    <v>98</v>
    <v>119.27</v>
    <v>364991800000</v>
    <v>JPMORGAN CHASE &amp; CO.</v>
    <v>JPMORGAN CHASE &amp; CO.</v>
    <v>119.62</v>
    <v>15.633699999999999</v>
    <v>119.78</v>
    <v>122.19499999999999</v>
    <v>3048203000</v>
    <v>JPM</v>
    <v>JPMORGAN CHASE &amp; CO. (XNYS:JPM)</v>
    <v>7201311</v>
    <v>16107458</v>
    <v>1968</v>
  </rv>
  <rv s="2">
    <v>99</v>
  </rv>
  <rv s="0">
    <v>http://en.wikipedia.org/wiki/Splunk</v>
    <v>Wikipedia</v>
  </rv>
  <rv s="3">
    <v>10</v>
    <v>101</v>
  </rv>
  <rv s="9">
    <v>https://www.bing.com/th?id=AMMS_519b3269ab5b8c4df7c4e8de0e22ba12&amp;qlt=95</v>
    <v>102</v>
    <v>https://www.bing.com/images/search?form=xlimg&amp;q=splunk</v>
    <v>Image of SPLUNK INC.</v>
  </rv>
  <rv s="0">
    <v>https://www.bing.com/financeapi/forcetrigger?t=a23eec&amp;q=XNAS%3aSPLK&amp;form=skydnc</v>
    <v>Learn more on Bing</v>
  </rv>
  <rv s="11">
    <v>en-US</v>
    <v>a23eec</v>
    <v>268435456</v>
    <v>268435457</v>
    <v>1</v>
    <v>Powered by Refinitiv</v>
    <v>24</v>
    <v>SPLUNK INC. (XNAS:SPLK)</v>
    <v>22</v>
    <v>25</v>
    <v>Finance</v>
    <v>9</v>
    <v>225.89439999999999</v>
    <v>93.92</v>
    <v>1.4928999999999999</v>
    <v>-43.72</v>
    <v>-0.21232600000000001</v>
    <v>USD</v>
    <v>Splunk Inc. (Splunk) is engaged in the development and marketing of software solutions. The Company's offerings enable users to collect, index, search, explore, monitor and analyze data. Its offerings address diverse data sets that are referred to as big data and are specifically used for machine data. Machine data is produced by various software application and electronic devices in an organization and contains a definitive, time-stamped record of various activities, such as transactions, customer and user activities and security threats. Its products help users in various roles, including information technology (IT), security and business professionals, to analyze their machine data and achieve real-time visibility into and intelligence about their organization's operations. In addition, the Company offers user behavioral analytics to help detect, respond to and mitigate advanced, hidden and insider threats. The Company offers Splunk Enterprise, which is a machine data platform.</v>
    <v>5800</v>
    <v>Nasdaq Stock Market</v>
    <v>XNAS</v>
    <v>XNAS</v>
    <v>270 Brannan St, SAN FRANCISCO, CA, 94107-2007 US</v>
    <v>169</v>
    <v>103</v>
    <v>Software &amp; IT Services</v>
    <v>Stock</v>
    <v>44168.797831075783</v>
    <v>104</v>
    <v>152.52000000000001</v>
    <v>33026720000</v>
    <v>SPLUNK INC.</v>
    <v>SPLUNK INC.</v>
    <v>159</v>
    <v>205.91</v>
    <v>162.19</v>
    <v>160394000</v>
    <v>SPLK</v>
    <v>SPLUNK INC. (XNAS:SPLK)</v>
    <v>23421480</v>
    <v>1340171</v>
    <v>2006</v>
  </rv>
  <rv s="2">
    <v>105</v>
  </rv>
  <rv s="0">
    <v>https://www.bing.com/financeapi/forcetrigger?t=a1vmf2&amp;q=XNAS%3aINTC&amp;form=skydnc</v>
    <v>Learn more on Bing</v>
  </rv>
  <rv s="16">
    <v>en-US</v>
    <v>a1vmf2</v>
    <v>268435456</v>
    <v>268435457</v>
    <v>1</v>
    <v>Powered by Refinitiv</v>
    <v>38</v>
    <v>INTEL CORPORATION (XNAS:INTC)</v>
    <v>33</v>
    <v>39</v>
    <v>Finance</v>
    <v>9</v>
    <v>69.290000000000006</v>
    <v>43.61</v>
    <v>0.72850000000000004</v>
    <v>-1.4007000000000001</v>
    <v>-2.9512999999999998E-2</v>
    <v>USD</v>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v>110800</v>
    <v>Nasdaq Stock Market</v>
    <v>XNAS</v>
    <v>XNAS</v>
    <v>2200 Mission College Blvd, SANTA CLARA, CA, 95054-1537 US</v>
    <v>46.45</v>
    <v>Semiconductors &amp; Semiconductor Equipment</v>
    <v>Stock</v>
    <v>44186.753877510935</v>
    <v>107</v>
    <v>45.24</v>
    <v>194491100000</v>
    <v>INTEL CORPORATION</v>
    <v>INTEL CORPORATION</v>
    <v>46.255000000000003</v>
    <v>9.3064999999999998</v>
    <v>47.46</v>
    <v>46.0593</v>
    <v>4098000000</v>
    <v>INTC</v>
    <v>INTEL CORPORATION (XNAS:INTC)</v>
    <v>33853381</v>
    <v>37448917</v>
    <v>1989</v>
  </rv>
  <rv s="2">
    <v>108</v>
  </rv>
  <rv s="0">
    <v>https://www.bing.com/financeapi/forcetrigger?t=bvigkr&amp;q=XNYS%3aQS&amp;form=skydnc</v>
    <v>Learn more on Bing</v>
  </rv>
  <rv s="17">
    <v>en-US</v>
    <v>bvigkr</v>
    <v>268435456</v>
    <v>268435457</v>
    <v>1</v>
    <v>Powered by Refinitiv</v>
    <v>40</v>
    <v>QUANTUMSCAPE CORPORATION (XNYS:QS)</v>
    <v>33</v>
    <v>41</v>
    <v>Finance</v>
    <v>11</v>
    <v>132.72999999999999</v>
    <v>9.74</v>
    <v>-13.2</v>
    <v>-0.10025100000000001</v>
    <v>USD</v>
    <v>QuantumScape Corporation, formerly Kensington Capital Acquisition Corp, is engaged in the development of solid-state lithium-metal batteries. The Company offers its batteries for use in electric vehicles. It designs its anode-less solid-state lithium-metal batteries using its original equipment manufacturer (OEM)-validated battery technology. The Company serves the automotive industry.</v>
    <v>New York Stock Exchange</v>
    <v>XNYS</v>
    <v>XNYS</v>
    <v>1730 Technology Drive, Suite 301, SAN JOSE, CA, 95110 US</v>
    <v>123.4999</v>
    <v>Automobiles &amp; Auto Parts</v>
    <v>Stock</v>
    <v>44188.688743923434</v>
    <v>110</v>
    <v>103.1</v>
    <v>45786990000</v>
    <v>QUANTUMSCAPE CORPORATION</v>
    <v>QUANTUMSCAPE CORPORATION</v>
    <v>122.02</v>
    <v>0</v>
    <v>131.66999999999999</v>
    <v>118.47</v>
    <v>QS</v>
    <v>QUANTUMSCAPE CORPORATION (XNYS:QS)</v>
    <v>16005670</v>
    <v>15488262</v>
  </rv>
  <rv s="2">
    <v>111</v>
  </rv>
  <rv s="9">
    <v>https://www.bing.com/th?id=AMMS_fbc39ac25bb1332e8095cd72ec19dc8e&amp;qlt=95</v>
    <v>12</v>
    <v>https://www.bing.com/images/search?form=xlimg&amp;q=advanced+micro+devices</v>
    <v>Image of ADVANCED MICRO DEVICES, INC.</v>
  </rv>
  <rv s="10">
    <v>en-US</v>
    <v>a1ndww</v>
    <v>268435456</v>
    <v>268435457</v>
    <v>1</v>
    <v>Powered by Refinitiv</v>
    <v>21</v>
    <v>ADVANCED MICRO DEVICES, INC. (XNAS:AMD)</v>
    <v>22</v>
    <v>23</v>
    <v>Finance</v>
    <v>9</v>
    <v>97.98</v>
    <v>36.75</v>
    <v>2.3054000000000001</v>
    <v>-3.27</v>
    <v>-3.4091000000000003E-2</v>
    <v>USD</v>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v>11400</v>
    <v>Nasdaq Stock Market</v>
    <v>XNAS</v>
    <v>XNAS</v>
    <v>2485 Augustine Dr, SANTA CLARA, CA, 95054-3002 US</v>
    <v>95.27</v>
    <v>113</v>
    <v>Semiconductors &amp; Semiconductor Equipment</v>
    <v>Stock</v>
    <v>44186.725549385941</v>
    <v>14</v>
    <v>91.08</v>
    <v>115364100000</v>
    <v>ADVANCED MICRO DEVICES, INC.</v>
    <v>ADVANCED MICRO DEVICES, INC.</v>
    <v>94.25</v>
    <v>133.8263</v>
    <v>95.92</v>
    <v>92.65</v>
    <v>1202712000</v>
    <v>AMD</v>
    <v>ADVANCED MICRO DEVICES, INC. (XNAS:AMD)</v>
    <v>28041229</v>
    <v>42231731</v>
    <v>1969</v>
  </rv>
  <rv s="2">
    <v>114</v>
  </rv>
  <rv s="15">
    <v>en-US</v>
    <v>a1ndww</v>
    <v>268435456</v>
    <v>268435457</v>
    <v>1</v>
    <v>Powered by Refinitiv</v>
    <v>35</v>
    <v>ADVANCED MICRO DEVICES, INC. (XNAS:AMD)</v>
    <v>22</v>
    <v>36</v>
    <v>Finance</v>
    <v>37</v>
    <v>97.98</v>
    <v>36.75</v>
    <v>2.1936</v>
    <v>-2.44</v>
    <v>1.1069999999999999E-4</v>
    <v>-2.6301999999999999E-2</v>
    <v>0.01</v>
    <v>USD</v>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v>11400</v>
    <v>Nasdaq Stock Market</v>
    <v>XNAS</v>
    <v>XNAS</v>
    <v>2485 Augustine Dr, SANTA CLARA, CA, 95054-3002 US</v>
    <v>92.28</v>
    <v>113</v>
    <v>Semiconductors &amp; Semiconductor Equipment</v>
    <v>Stock</v>
    <v>44202.886849791408</v>
    <v>14</v>
    <v>89.47</v>
    <v>111575600000</v>
    <v>ADVANCED MICRO DEVICES, INC.</v>
    <v>ADVANCED MICRO DEVICES, INC.</v>
    <v>91.62</v>
    <v>129.4315</v>
    <v>92.77</v>
    <v>90.33</v>
    <v>90.34</v>
    <v>1202712000</v>
    <v>AMD</v>
    <v>ADVANCED MICRO DEVICES, INC. (XNAS:AMD)</v>
    <v>51561174</v>
    <v>40775940</v>
    <v>1969</v>
  </rv>
  <rv s="2">
    <v>116</v>
  </rv>
  <rv s="0">
    <v>https://www.bing.com/financeapi/forcetrigger?t=a267oc&amp;q=ARCX%3aXLE&amp;form=skydnc</v>
    <v>Learn more on Bing</v>
  </rv>
  <rv s="13">
    <v>en-US</v>
    <v>a267oc</v>
    <v>268435456</v>
    <v>268435459</v>
    <v>1</v>
    <v>Powered by Refinitiv</v>
    <v>30</v>
    <v>Sel Sector:Energy SPDR (ARCX:XLE)</v>
    <v>28</v>
    <v>31</v>
    <v>Finance</v>
    <v>12</v>
    <v>61.31</v>
    <v>22.88</v>
    <v>1.141</v>
    <v>1.9</v>
    <v>4.9299000000000003E-2</v>
    <v>USD</v>
    <v>NYSE Arca</v>
    <v>ARCX</v>
    <v>1.2999999999999999E-3</v>
    <v>40.57</v>
    <v>ETF</v>
    <v>44169.856192013278</v>
    <v>118</v>
    <v>39.229999999999997</v>
    <v>12753264280.190001</v>
    <v>Sel Sector:Energy SPDR</v>
    <v>39.265000000000001</v>
    <v>38.54</v>
    <v>40.44</v>
    <v>XLE</v>
    <v>Sel Sector:Energy SPDR (ARCX:XLE)</v>
    <v>41121099</v>
    <v>41391226</v>
  </rv>
  <rv s="2">
    <v>119</v>
  </rv>
  <rv s="0">
    <v>http://en.wikipedia.org/wiki/GameStop</v>
    <v>Wikipedia</v>
  </rv>
  <rv s="3">
    <v>10</v>
    <v>121</v>
  </rv>
  <rv s="9">
    <v>https://www.bing.com/th?id=AMMS_1af0820cdcad1e835487a08cdf869215&amp;qlt=95</v>
    <v>122</v>
    <v>https://www.bing.com/images/search?form=xlimg&amp;q=gamestop</v>
    <v>Image of GAMESTOP CORP.</v>
  </rv>
  <rv s="0">
    <v>https://www.bing.com/financeapi/forcetrigger?t=a1tyxm&amp;q=XNYS%3aGME&amp;form=skydnc</v>
    <v>Learn more on Bing</v>
  </rv>
  <rv s="15">
    <v>en-US</v>
    <v>a1tyxm</v>
    <v>268435456</v>
    <v>268435457</v>
    <v>1</v>
    <v>Powered by Refinitiv</v>
    <v>35</v>
    <v>GAMESTOP CORP. (XNYS:GME)</v>
    <v>22</v>
    <v>36</v>
    <v>Finance</v>
    <v>37</v>
    <v>22.349900000000002</v>
    <v>2.57</v>
    <v>1.4410000000000001</v>
    <v>-0.375</v>
    <v>7.064E-3</v>
    <v>-2.0753000000000001E-2</v>
    <v>0.125</v>
    <v>USD</v>
    <v>GameStop Corp. is an omnichannel video game retailer. The Company sells video game hardware, physical and digital video game software, video game accessories, as well as mobile and consumer electronics products and other merchandise through its GameStop, EB Games and Micromania stores. It operating segments, which consists of Video Game Brands segments: United States, Canada and Australia and Europe. Each of the Video Game Brands segments consists primarily of retail operations, with all stores engaged in the sale of new and pre-owned video game systems, software and accessories, which it refers to as video game products. Its Video Game Brands stores sell various types of digital products, including downloadable content, network points cards, prepaid digital, and also sell certain mobile and consumer electronics products and collectible products.</v>
    <v>14000</v>
    <v>New York Stock Exchange</v>
    <v>XNYS</v>
    <v>XNYS</v>
    <v>625 Westport Pkwy, GRAPEVINE, TX, 76051-6740 US</v>
    <v>18.3</v>
    <v>123</v>
    <v>Specialty Retailers</v>
    <v>Stock</v>
    <v>44204.909591307813</v>
    <v>124</v>
    <v>17.079999999999998</v>
    <v>1261025000</v>
    <v>GAMESTOP CORP.</v>
    <v>GAMESTOP CORP.</v>
    <v>18.190000000000001</v>
    <v>0</v>
    <v>18.07</v>
    <v>17.695</v>
    <v>17.82</v>
    <v>69746960</v>
    <v>GME</v>
    <v>GAMESTOP CORP. (XNYS:GME)</v>
    <v>6454853</v>
    <v>10633600</v>
    <v>2005</v>
  </rv>
  <rv s="2">
    <v>125</v>
  </rv>
  <rv s="12">
    <v>en-US</v>
    <v>a33pk2</v>
    <v>268435456</v>
    <v>268435460</v>
    <v>1</v>
    <v>Powered by Refinitiv</v>
    <v>27</v>
    <v>CBOE MKT VOLATILITY IDX</v>
    <v>28</v>
    <v>29</v>
    <v>Finance</v>
    <v>18</v>
    <v>85.47</v>
    <v>11.72</v>
    <v>4.95</v>
    <v>0.22948499999999999</v>
    <v>US</v>
    <v>31.46</v>
    <v>Index</v>
    <v>59</v>
    <v>24.23</v>
    <v>CBOE MKT VOLATILITY IDX</v>
    <v>24.25</v>
    <v>21.57</v>
    <v>26.52</v>
    <v>VIX</v>
    <v>CBOE MKT VOLATILITY IDX</v>
  </rv>
  <rv s="2">
    <v>127</v>
  </rv>
  <rv s="15">
    <v>en-US</v>
    <v>a1o4mw</v>
    <v>268435456</v>
    <v>268435457</v>
    <v>1</v>
    <v>Powered by Refinitiv</v>
    <v>35</v>
    <v>Alibaba Group Holding Limited (XNYS:BABA)</v>
    <v>22</v>
    <v>42</v>
    <v>Finance</v>
    <v>37</v>
    <v>319.32</v>
    <v>169.95</v>
    <v>0.99160000000000004</v>
    <v>13.84</v>
    <v>-7.1900000000000002E-4</v>
    <v>6.2176999999999996E-2</v>
    <v>-0.17</v>
    <v>USD</v>
    <v>ALIBABA GROUP HOLDING LIMITED is a holding company that provides the technology infrastructure and marketing reach to help merchants, brands and other businesses to leverage the power of new technology to engage with users and customers to operate. The Company operates four business segments. The Core Commerce segment provides China retail, China wholesale, International retail, International wholesale, Cainiao logistics services and local consumer services through Taobao Marketplace and Tmall. The Cloud Computing segment provides complete suite of cloud services, including database, storage, network virtualization services, big data analytics and others. The Digital Media and Entertainment segment provides consumer services beyond the core business operations. The Innovation Initiatives and Others segment is to innovate and deliver new services and products.</v>
    <v>122399</v>
    <v>New York Stock Exchange</v>
    <v>XNYS</v>
    <v>XNYS</v>
    <v>No.969 Wenyi West Road, Yuhang District, HANGZHOU, ZHEJIANG, 311121 CN</v>
    <v>239.19</v>
    <v>79</v>
    <v>Software &amp; IT Services</v>
    <v>Stock</v>
    <v>44194.886997314061</v>
    <v>7</v>
    <v>229.6</v>
    <v>601625400000</v>
    <v>Alibaba Group Holding Limited</v>
    <v>Alibaba Group Holding Limited</v>
    <v>231.56</v>
    <v>31.087499999999999</v>
    <v>222.59</v>
    <v>236.43</v>
    <v>236.26</v>
    <v>2705637000</v>
    <v>BABA</v>
    <v>Alibaba Group Holding Limited (XNYS:BABA)</v>
    <v>69135077</v>
    <v>22899787</v>
    <v>1999</v>
  </rv>
  <rv s="2">
    <v>129</v>
  </rv>
  <rv s="0">
    <v>http://en.wikipedia.org/wiki/Norwegian_Cruise_Line</v>
    <v>Wikipedia</v>
  </rv>
  <rv s="3">
    <v>10</v>
    <v>131</v>
  </rv>
  <rv s="18">
    <v>10</v>
    <v>https://www.bing.com/th?id=AMMS_bbdfa0a8c7dacf5547cec3c25b489ead&amp;qlt=95</v>
    <v>132</v>
    <v>https://www.bing.com/images/search?form=xlimg&amp;q=norwegian+cruise+line</v>
    <v>Image of NORWEGIAN CRUISE LINE HOLDINGS LTD.</v>
  </rv>
  <rv s="0">
    <v>https://www.bing.com/financeapi/forcetrigger?t=axxudm&amp;q=XNYS%3aNCLH&amp;form=skydnc</v>
    <v>Learn more on Bing</v>
  </rv>
  <rv s="10">
    <v>en-US</v>
    <v>axxudm</v>
    <v>268435456</v>
    <v>268435457</v>
    <v>1</v>
    <v>Powered by Refinitiv</v>
    <v>43</v>
    <v>NORWEGIAN CRUISE LINE HOLDINGS LTD. (XNYS:NCLH)</v>
    <v>22</v>
    <v>23</v>
    <v>Finance</v>
    <v>9</v>
    <v>44.65</v>
    <v>7.03</v>
    <v>2.9178000000000002</v>
    <v>1.3900999999999999</v>
    <v>4.8520000000000001E-2</v>
    <v>USD</v>
    <v>Norwegian Cruise Line Holdings Ltd. (NCLH) is a global cruise company. The Company operates the Norwegian Cruise Line, Oceania Cruises and Regent Seven Seas Cruises brands. The Company had 25 ships with approximately 50,400 Berths, as of May 1, 2017. The Company's brands offer itineraries to various destinations around the world, including Europe, Asia, Australia, New Zealand, South America, Africa, Canada, Bermuda, Caribbean, Alaska and Hawaii. The Company's brands offer various features, amenities, and activities, including various accommodations, multiple dining venues, bars and lounges, spa, casino and retail shopping areas and various entertainment choices. All the brands offer a selection of shore excursions at each port of call, as well as hotel packages for stays before or after a voyage. As of December 31, 2016, its Norwegian offered 14 ships that were purpose-built to deliver the Freestyle Cruising product, which offered freedom, flexibility and choice to its guests.</v>
    <v>36000</v>
    <v>New York Stock Exchange</v>
    <v>XNYS</v>
    <v>XNYS</v>
    <v>7665 CORPORATE DRIVE, MIAMI, FL, 33126 US</v>
    <v>30.36</v>
    <v>133</v>
    <v>Hotels &amp; Entertainment Services</v>
    <v>Stock</v>
    <v>44251.63755461797</v>
    <v>134</v>
    <v>29.14</v>
    <v>9033028000</v>
    <v>NORWEGIAN CRUISE LINE HOLDINGS LTD.</v>
    <v>NORWEGIAN CRUISE LINE HOLDINGS LTD.</v>
    <v>29.41</v>
    <v>0</v>
    <v>28.65</v>
    <v>30.040099999999999</v>
    <v>315619400</v>
    <v>NCLH</v>
    <v>NORWEGIAN CRUISE LINE HOLDINGS LTD. (XNYS:NCLH)</v>
    <v>10788869</v>
    <v>16568085</v>
    <v>2011</v>
  </rv>
  <rv s="2">
    <v>135</v>
  </rv>
  <rv s="0">
    <v>http://en.wikipedia.org/wiki/Tripadvisor</v>
    <v>Wikipedia</v>
  </rv>
  <rv s="3">
    <v>76</v>
    <v>137</v>
  </rv>
  <rv s="18">
    <v>10</v>
    <v>https://www.bing.com/th?id=AMMS_b6e9db742cd1447e72bc5735297bd9a9&amp;qlt=95</v>
    <v>138</v>
    <v>https://www.bing.com/images/search?form=xlimg&amp;q=tripadvisor</v>
    <v>Image of TRIPADVISOR, INC.</v>
  </rv>
  <rv s="0">
    <v>https://www.bing.com/financeapi/forcetrigger?t=a24ha2&amp;q=XNAS%3aTRIP&amp;form=skydnc</v>
    <v>Learn more on Bing</v>
  </rv>
  <rv s="10">
    <v>en-US</v>
    <v>a24ha2</v>
    <v>268435456</v>
    <v>268435457</v>
    <v>1</v>
    <v>Powered by Refinitiv</v>
    <v>43</v>
    <v>TRIPADVISOR, INC. (XNAS:TRIP)</v>
    <v>22</v>
    <v>23</v>
    <v>Finance</v>
    <v>9</v>
    <v>50.43</v>
    <v>13.725</v>
    <v>1.5206999999999999</v>
    <v>4.2300000000000004</v>
    <v>9.1857000000000008E-2</v>
    <v>USD</v>
    <v>TripAdvisor, Inc. is an online travel company that owns and operates a portfolio of online travel brands. TripAdvisor, the Company's brand, is a travel site. The Company operates through two segments: Hotel and Non-Hotel. The Company's platform also enables users to compare real-time pricing and availability for these experiences, as well as to book hotels, flights, cruises, vacation rentals, tours, activities and attractions, and restaurants, on either a TripAdvisor site or application, or a travel partner site or application. The Company's TripAdvisor-branded Websites included tripadvisor.com in the United States and localized versions of the TripAdvisor Website in 48 markets and 28 languages around the world. It manages and operates a portfolio of travel media brands and businesses, operating under various Websites.</v>
    <v>2596</v>
    <v>Nasdaq Stock Market</v>
    <v>XNAS</v>
    <v>XNAS</v>
    <v>400 1st Ave, NEEDHAM, MA, 02494-2815 US</v>
    <v>50.43</v>
    <v>139</v>
    <v>Hotels &amp; Entertainment Services</v>
    <v>Stock</v>
    <v>44251.724164560153</v>
    <v>140</v>
    <v>45.51</v>
    <v>6208887000</v>
    <v>TRIPADVISOR, INC.</v>
    <v>TRIPADVISOR, INC.</v>
    <v>46.46</v>
    <v>36.430300000000003</v>
    <v>46.05</v>
    <v>50.28</v>
    <v>134829300</v>
    <v>TRIP</v>
    <v>TRIPADVISOR, INC. (XNAS:TRIP)</v>
    <v>3690916</v>
    <v>3056423</v>
    <v>2011</v>
  </rv>
  <rv s="2">
    <v>141</v>
  </rv>
  <rv s="0">
    <v>http://en.wikipedia.org/wiki/Petrobras</v>
    <v>Wikipedia</v>
  </rv>
  <rv s="3">
    <v>10</v>
    <v>143</v>
  </rv>
  <rv s="18">
    <v>10</v>
    <v>https://www.bing.com/th?id=AMMS_10e3be47cbdf35bde135c8a28351a136&amp;qlt=95</v>
    <v>144</v>
    <v>https://www.bing.com/images/search?form=xlimg&amp;q=petrobras</v>
    <v>Image of Brazilian Petroleum Corporation - Petrobras</v>
  </rv>
  <rv s="0">
    <v>https://www.bing.com/financeapi/forcetrigger?t=a1zj8m&amp;q=XNYS%3aPBR&amp;form=skydnc</v>
    <v>Learn more on Bing</v>
  </rv>
  <rv s="10">
    <v>en-US</v>
    <v>a1zj8m</v>
    <v>268435456</v>
    <v>268435457</v>
    <v>1</v>
    <v>Powered by Refinitiv</v>
    <v>43</v>
    <v>Brazilian Petroleum Corporation - Petrobras (XNYS:PBR)</v>
    <v>22</v>
    <v>44</v>
    <v>Finance</v>
    <v>9</v>
    <v>13.3</v>
    <v>4.01</v>
    <v>1.8636999999999999</v>
    <v>0.19500000000000001</v>
    <v>2.2995000000000002E-2</v>
    <v>USD</v>
    <v>Petroleo Brasileiro S.A.-Petrobras specializes in the oil, natural gas and energy industry. The Company is engaged in prospecting, drilling, refining, processing, trading and transporting crude oil from producing onshore and offshore oil fields and from shale or other rocks. Its segments include Exploration and Production, which covers the activities of exploration, development and production of crude oil, natural gas liquid and natural gas; Refining, Transportation and Marketing, which covers the refining, logistics, transport and trading of crude oil and oil products activities, exporting of ethanol, and extraction and processing of shale; Gas and Power, which is engaged in transportation and trading of natural gas produced in Brazil and imported natural gas; Biofuels, which covers the activities of production of biodiesel and its co-products, and ethanol-related activities; Distribution, which includes the activities of its subsidiary Petrobras Distribuidora S.A., and Corporate.</v>
    <v>57983</v>
    <v>New York Stock Exchange</v>
    <v>XNYS</v>
    <v>XNYS</v>
    <v>Av. Republica do Chile, n 65 - Centr, RIO DE JANEIRO, RIO DE JANEIRO, 20.031-912 BR</v>
    <v>8.74</v>
    <v>145</v>
    <v>Oil &amp; Gas</v>
    <v>Stock</v>
    <v>44251.639500821097</v>
    <v>146</v>
    <v>8.56</v>
    <v>309534000000</v>
    <v>Brazilian Petroleum Corporation - Petrobras</v>
    <v>Brazilian Petroleum Corporation - Petrobras</v>
    <v>8.65</v>
    <v>0</v>
    <v>8.48</v>
    <v>8.6750000000000007</v>
    <v>13044500000</v>
    <v>PBR</v>
    <v>Brazilian Petroleum Corporation - Petrobras (XNYS:PBR)</v>
    <v>12902665</v>
    <v>38670942</v>
    <v>1953</v>
  </rv>
  <rv s="2">
    <v>147</v>
  </rv>
  <rv s="0">
    <v>http://ja.wikipedia.org/wiki/Twitter</v>
    <v>Wikipedia</v>
  </rv>
  <rv s="3">
    <v>10</v>
    <v>149</v>
  </rv>
  <rv s="18">
    <v>10</v>
    <v>https://www.bing.com/th?id=AMMS_e616448e16a88dfcb98701516863e901&amp;qlt=95</v>
    <v>150</v>
    <v>https://www.bing.com/images/search?form=xlimg&amp;q=twitter</v>
    <v>Image of TWITTER, INC.</v>
  </rv>
  <rv s="0">
    <v>https://www.bing.com/financeapi/forcetrigger?t=a24op2&amp;q=XNYS%3aTWTR&amp;form=skydnc</v>
    <v>Learn more on Bing</v>
  </rv>
  <rv s="10">
    <v>en-US</v>
    <v>a24op2</v>
    <v>268435456</v>
    <v>268435457</v>
    <v>1</v>
    <v>Powered by Refinitiv</v>
    <v>43</v>
    <v>TWITTER, INC. (XNYS:TWTR)</v>
    <v>22</v>
    <v>23</v>
    <v>Finance</v>
    <v>9</v>
    <v>80.739999999999995</v>
    <v>20</v>
    <v>0.89180000000000004</v>
    <v>3.125</v>
    <v>4.3451000000000004E-2</v>
    <v>USD</v>
    <v>Twitter, Inc. offers products and services for users, advertisers, developers and data partners. The Company's products and services include Twitter, Periscope, Promoted Tweets, Promoted Accounts and Promoted Trends. Its Twitter is a platform for public self-expression and conversation in real time. Periscope broadcasts can also be viewed through Twitter and on desktop or mobile Web browser. Its Promoted Products enable its advertisers to promote their brands, products and services, amplify their visibility and reach, and extend the conversation around their advertising campaigns. Promoted Accounts appear in the same format and place as accounts suggested by its Who to Follow recommendation engine, or in some cases, in Tweets in a user's timeline. Promoted Trends appear at the top of the list of trending topics for an entire day in a particular country or on a global basis. Its MoPub is a mobile-focused advertising exchange. Twitter Audience Platform is an advertising offering.</v>
    <v>5500</v>
    <v>New York Stock Exchange</v>
    <v>XNYS</v>
    <v>XNYS</v>
    <v>1355 Market St Ste 900, SAN FRANCISCO, CA, 94103-1337 US</v>
    <v>80.739999999999995</v>
    <v>151</v>
    <v>Software &amp; IT Services</v>
    <v>Stock</v>
    <v>44252.868069779688</v>
    <v>152</v>
    <v>73.900000000000006</v>
    <v>57403130000</v>
    <v>TWITTER, INC.</v>
    <v>TWITTER, INC.</v>
    <v>78.06</v>
    <v>0</v>
    <v>71.92</v>
    <v>75.045000000000002</v>
    <v>798152500</v>
    <v>TWTR</v>
    <v>TWITTER, INC. (XNYS:TWTR)</v>
    <v>55637365</v>
    <v>23511105</v>
    <v>2007</v>
  </rv>
  <rv s="2">
    <v>153</v>
  </rv>
  <rv s="0">
    <v>http://en.wikipedia.org/wiki/Marathon_Oil</v>
    <v>Wikipedia</v>
  </rv>
  <rv s="3">
    <v>10</v>
    <v>155</v>
  </rv>
  <rv s="18">
    <v>10</v>
    <v>https://www.bing.com/th?id=AMMS_053e966468c0c2456f7c62d3a165a7fd&amp;qlt=95</v>
    <v>156</v>
    <v>https://www.bing.com/images/search?form=xlimg&amp;q=marathon+oil</v>
    <v>Image of MARATHON OIL CORPORATION</v>
  </rv>
  <rv s="0">
    <v>https://www.bing.com/financeapi/forcetrigger?t=a1xxvh&amp;q=XNYS%3aMRO&amp;form=skydnc</v>
    <v>Learn more on Bing</v>
  </rv>
  <rv s="10">
    <v>en-US</v>
    <v>a1xxvh</v>
    <v>268435456</v>
    <v>268435457</v>
    <v>1</v>
    <v>Powered by Refinitiv</v>
    <v>43</v>
    <v>MARATHON OIL CORPORATION (XNYS:MRO)</v>
    <v>22</v>
    <v>23</v>
    <v>Finance</v>
    <v>9</v>
    <v>12.3</v>
    <v>3.02</v>
    <v>3.4215</v>
    <v>0.91500000000000004</v>
    <v>8.1842999999999999E-2</v>
    <v>USD</v>
    <v>Marathon Oil Corporation is an exploration and production (E&amp;P) company. The Company operates through two segments: United States E&amp;P and International E&amp;P. The United States E&amp;P segment explores for, produces and markets crude oil and condensate, natural gas liquids (NGLs) and natural gas in the United States. The International E&amp;P segment explores for, produces and markets crude oil and condensate, NGLs and natural gas outside of the United States, and produces and markets products manufactured from natural gas, such as liquefied natural gas (LNG) and methanol, in Equatorial Guinea (E.G.).</v>
    <v>2000</v>
    <v>New York Stock Exchange</v>
    <v>XNYS</v>
    <v>XNYS</v>
    <v>PO Box 3128, HOUSTON, TX, 77253-3128 US</v>
    <v>12.3</v>
    <v>157</v>
    <v>Oil &amp; Gas</v>
    <v>Stock</v>
    <v>44251.725640717188</v>
    <v>158</v>
    <v>10.87</v>
    <v>8809609000</v>
    <v>MARATHON OIL CORPORATION</v>
    <v>MARATHON OIL CORPORATION</v>
    <v>11.25</v>
    <v>0</v>
    <v>11.18</v>
    <v>12.095000000000001</v>
    <v>789391500</v>
    <v>MRO</v>
    <v>MARATHON OIL CORPORATION (XNYS:MRO)</v>
    <v>32277132</v>
    <v>27013486</v>
    <v>2001</v>
  </rv>
  <rv s="2">
    <v>159</v>
  </rv>
  <rv s="12">
    <v>en-US</v>
    <v>a33pk2</v>
    <v>268435456</v>
    <v>268435460</v>
    <v>1</v>
    <v>Powered by Refinitiv</v>
    <v>45</v>
    <v>CBOE MKT VOLATILITY IDX</v>
    <v>28</v>
    <v>29</v>
    <v>Finance</v>
    <v>18</v>
    <v>85.47</v>
    <v>19.510000000000002</v>
    <v>8.07</v>
    <v>0.37816299999999997</v>
    <v>US</v>
    <v>31.16</v>
    <v>Index</v>
    <v>59</v>
    <v>21.52</v>
    <v>CBOE MKT VOLATILITY IDX</v>
    <v>21.73</v>
    <v>21.34</v>
    <v>29.41</v>
    <v>VIX</v>
    <v>CBOE MKT VOLATILITY IDX</v>
  </rv>
  <rv s="2">
    <v>161</v>
  </rv>
  <rv s="0">
    <v>http://en.wikipedia.org/wiki/Workhorse_Group</v>
    <v>Wikipedia</v>
  </rv>
  <rv s="3">
    <v>10</v>
    <v>163</v>
  </rv>
  <rv s="18">
    <v>10</v>
    <v>https://www.bing.com/th?id=AMMS_c54e26e8951be4ba1db64388802da079&amp;qlt=95</v>
    <v>164</v>
    <v>https://www.bing.com/images/search?form=xlimg&amp;q=workhorse+group</v>
    <v>Image of WORKHORSE GROUP INC.</v>
  </rv>
  <rv s="0">
    <v>https://www.bing.com/financeapi/forcetrigger?t=a25wsm&amp;q=XNAS%3aWKHS&amp;form=skydnc</v>
    <v>Learn more on Bing</v>
  </rv>
  <rv s="11">
    <v>en-US</v>
    <v>a25wsm</v>
    <v>268435456</v>
    <v>268435457</v>
    <v>1</v>
    <v>Powered by Refinitiv</v>
    <v>46</v>
    <v>WORKHORSE GROUP INC. (XNAS:WKHS)</v>
    <v>22</v>
    <v>25</v>
    <v>Finance</v>
    <v>9</v>
    <v>42.96</v>
    <v>1.3149999999999999</v>
    <v>2.9891999999999999</v>
    <v>-2.2149999999999999</v>
    <v>-0.13452800000000001</v>
    <v>USD</v>
    <v>Workhorse Group, Inc. is a technology company. The Company is focused on providing solutions to commercial transportation sector. The Company designs and builds high performance electric vehicles and aircraft. As part of its solutions, it also develops cloud-based, real-time telematics performance monitoring systems. The Company is an Original Equipment Manufacturer (OEM) of Class 3-6 commercial-grade, medium-duty trucks. The Company sells its vehicles to fleet customers directly and through its primary distributor, Ryder System, Inc. (Ryder). Its product includes C-series electric delivery truck and Package Delivery Aircraft, HorseFly. The Workhorse C-Series electric delivery truck platform is available in multiple size configurations, including 450, 650 and 1,000 cubic feet. HorseFly is an Unmanned Aerial System (UAS), which is custom-designed, purpose-built system that delivers packages.</v>
    <v>81</v>
    <v>Nasdaq Stock Market</v>
    <v>XNAS</v>
    <v>XNAS</v>
    <v>100 Commerce Dr, LOVELAND, OH, 45140-7726 US</v>
    <v>15.35</v>
    <v>165</v>
    <v>Automobiles &amp; Auto Parts</v>
    <v>Stock</v>
    <v>44251.641520798439</v>
    <v>166</v>
    <v>13.54</v>
    <v>1984513000</v>
    <v>WORKHORSE GROUP INC.</v>
    <v>WORKHORSE GROUP INC.</v>
    <v>14.01</v>
    <v>16.465</v>
    <v>14.25</v>
    <v>120529200</v>
    <v>WKHS</v>
    <v>WORKHORSE GROUP INC. (XNAS:WKHS)</v>
    <v>36960417</v>
    <v>19823000</v>
    <v>2007</v>
  </rv>
  <rv s="2">
    <v>167</v>
  </rv>
  <rv s="0">
    <v>https://www.bing.com/financeapi/forcetrigger?t=a1nwdm&amp;q=XNAS%3aATNX&amp;form=skydnc</v>
    <v>Learn more on Bing</v>
  </rv>
  <rv s="19">
    <v>en-US</v>
    <v>a1nwdm</v>
    <v>268435456</v>
    <v>268435457</v>
    <v>1</v>
    <v>Powered by Refinitiv</v>
    <v>47</v>
    <v>ATHENEX, INC. (XNAS:ATNX)</v>
    <v>33</v>
    <v>48</v>
    <v>Finance</v>
    <v>9</v>
    <v>15.24</v>
    <v>5.24</v>
    <v>0.85060000000000002</v>
    <v>-6.34</v>
    <v>-0.52396700000000007</v>
    <v>USD</v>
    <v>Athenex, Inc. is an oncology pharmaceutical company focused on the development and commercialization of therapies for cancer diseases and supportive therapies. The Company's technology platform is organized into three categories, including Oral Absorption Platform, Src Kinase Inhibitors and Symptom Therapeutics. The Company offers Oraxol, an oral formulation of paclitaxel; Orateacan, an oral formulation of Irinotecan; Oradoxel, an oral formulation of Docetaxel, and an oral formulation of Topotecan for the treatment of various types of cancers. Its Src Kinase Inhibitors include KX-01 (KX2-391) and KX-02 (KX2-361) oncology drug candidates. The Company's Symptom Therapeutics include CQ-01, which is used for the treatment of burn pruritus and scars; CQ-R1, which is used for the treatment of an irradiation-induced dermatitis, and an intranasal Granisetron used for the treatment of chemotherapy-induced nausea/vomiting.</v>
    <v>574</v>
    <v>Nasdaq Stock Market</v>
    <v>XNAS</v>
    <v>XNAS</v>
    <v>1001 Main St Ste 600, BUFFALO, NY, 14203-1009 US</v>
    <v>6.13</v>
    <v>Biotechnology &amp; Medical Research</v>
    <v>Stock</v>
    <v>44256.748783842188</v>
    <v>169</v>
    <v>5.24</v>
    <v>1129405000</v>
    <v>ATHENEX, INC.</v>
    <v>ATHENEX, INC.</v>
    <v>5.44</v>
    <v>12.1</v>
    <v>5.76</v>
    <v>93339240</v>
    <v>ATNX</v>
    <v>ATHENEX, INC. (XNAS:ATNX)</v>
    <v>33170517</v>
    <v>1275979</v>
    <v>2003</v>
  </rv>
  <rv s="2">
    <v>170</v>
  </rv>
  <rv s="0">
    <v>https://www.bing.com/financeapi/forcetrigger?t=buv35r&amp;q=XNAS%3aCLOV&amp;form=skydnc</v>
    <v>Learn more on Bing</v>
  </rv>
  <rv s="20">
    <v>en-US</v>
    <v>buv35r</v>
    <v>268435456</v>
    <v>268435457</v>
    <v>1</v>
    <v>Powered by Refinitiv</v>
    <v>49</v>
    <v>CLOVER HEALTH INVESTMENTS, CORP. (XNAS:CLOV)</v>
    <v>33</v>
    <v>50</v>
    <v>Finance</v>
    <v>37</v>
    <v>17.45</v>
    <v>6.31</v>
    <v>-0.08</v>
    <v>1.7263000000000001E-2</v>
    <v>-9.7680000000000006E-3</v>
    <v>0.14000000000000001</v>
    <v>USD</v>
    <v>Clover Health Investments Corp, formerly Social Capital Hedosophia Holdings Corp III, is a healthcare technology company. The Company provides Medicare plans to seniors. Its plans include hospital coverage, doctor visits, and drug coverage, vision, dental, and hearing coverage. The Company’s offers a software platform Clover Assistant, which provide America’s seniors with Preferred Provider Organization (PPO) and a Health Maintenance Organization (HMO) plans. The Clover Assistant provides information and personalized care recommendations to primary care physicians (PCPs), driving real-time, data-driven and helps in clinical decision-making.</v>
    <v>0</v>
    <v>Nasdaq Stock Market</v>
    <v>XNAS</v>
    <v>XNAS</v>
    <v>725 Cool Springs Blvd., Suite 320, Suite 320, FRANKLIN, TN, 37067 US</v>
    <v>8.6</v>
    <v>Healthcare Equipment &amp; Supplies</v>
    <v>Stock</v>
    <v>44265.991649698437</v>
    <v>172</v>
    <v>8</v>
    <v>3312370000</v>
    <v>CLOVER HEALTH INVESTMENTS, CORP.</v>
    <v>CLOVER HEALTH INVESTMENTS, CORP.</v>
    <v>8.2899999999999991</v>
    <v>0</v>
    <v>8.19</v>
    <v>8.11</v>
    <v>8.25</v>
    <v>CLOV</v>
    <v>CLOVER HEALTH INVESTMENTS, CORP. (XNAS:CLOV)</v>
    <v>13624117</v>
    <v>22410225</v>
  </rv>
  <rv s="2">
    <v>173</v>
  </rv>
  <rv s="0">
    <v>http://en.wikipedia.org/wiki/Walmart</v>
    <v>Wikipedia</v>
  </rv>
  <rv s="3">
    <v>10</v>
    <v>175</v>
  </rv>
  <rv s="18">
    <v>10</v>
    <v>https://www.bing.com/th?id=AMMS_bda71e2736b0e1c236099c12cbe43c51&amp;qlt=95</v>
    <v>176</v>
    <v>https://www.bing.com/images/search?form=xlimg&amp;q=walmart</v>
    <v>Image of WALMART INC.</v>
  </rv>
  <rv s="0">
    <v>https://www.bing.com/financeapi/forcetrigger?t=a25ya2&amp;q=XNYS%3aWMT&amp;form=skydnc</v>
    <v>Learn more on Bing</v>
  </rv>
  <rv s="10">
    <v>en-US</v>
    <v>a25ya2</v>
    <v>268435456</v>
    <v>268435457</v>
    <v>1</v>
    <v>Powered by Refinitiv</v>
    <v>43</v>
    <v>WALMART INC. (XNYS:WMT)</v>
    <v>22</v>
    <v>23</v>
    <v>Finance</v>
    <v>9</v>
    <v>153.65969999999999</v>
    <v>102</v>
    <v>0.46629999999999999</v>
    <v>-2.0099999999999998</v>
    <v>-1.4520999999999999E-2</v>
    <v>USD</v>
    <v>Walmart Inc., formerly Wal-Mart Stores, Inc., is engaged in the operation of retail, wholesale and other units in various formats around the world. The Company offers an assortment of merchandise and services at everyday low prices (EDLP). The Company operates through three segments: Walmart U.S., Walmart International and Sam's Club. The Walmart U.S. segment includes the Company's mass merchant concept in the United States operating under the Walmart brands, as well as digital retail. The Walmart International segment consists of the Company's operations outside of the United States, including various retail Websites. The Sam's Club segment includes the warehouse membership clubs in the United States, as well as samsclub.com. The Company operates approximately 11,600 stores under 59 banners in 28 countries and e-commerce Websites in 11 countries.</v>
    <v>2200000</v>
    <v>New York Stock Exchange</v>
    <v>XNYS</v>
    <v>XNYS</v>
    <v>702 SW 8th St, BENTONVILLE, AR, 72716-6209 US</v>
    <v>138.34</v>
    <v>177</v>
    <v>Food &amp; Drug Retailing</v>
    <v>Stock</v>
    <v>44249.718368344533</v>
    <v>178</v>
    <v>136.26300000000001</v>
    <v>391403400000</v>
    <v>WALMART INC.</v>
    <v>WALMART INC.</v>
    <v>137.77000000000001</v>
    <v>29.205100000000002</v>
    <v>138.41999999999999</v>
    <v>136.41</v>
    <v>2829286000</v>
    <v>WMT</v>
    <v>WALMART INC. (XNYS:WMT)</v>
    <v>5323459</v>
    <v>8385033</v>
    <v>1969</v>
  </rv>
  <rv s="2">
    <v>179</v>
  </rv>
  <rv s="0">
    <v>http://en.wikipedia.org/wiki/Snap_Inc.</v>
    <v>Wikipedia</v>
  </rv>
  <rv s="3">
    <v>10</v>
    <v>181</v>
  </rv>
  <rv s="4">
    <v>10</v>
    <v>https://www.bing.com/th?id=AMMS_4fb73097a01f1d466c31851722ace0d0&amp;qlt=95</v>
    <v>182</v>
    <v>0</v>
    <v>https://www.bing.com/images/search?form=xlimg&amp;q=snap+inc.</v>
    <v>Image of SNAP INC.</v>
  </rv>
  <rv s="0">
    <v>https://www.bing.com/financeapi/forcetrigger?t=a237m7&amp;q=XNYS%3aSNAP&amp;form=skydnc</v>
    <v>Learn more on Bing</v>
  </rv>
  <rv s="5">
    <v>en-US</v>
    <v>a237m7</v>
    <v>268435456</v>
    <v>1</v>
    <v>Powered by Refinitiv</v>
    <v>5</v>
    <v>SNAP INC. (XNYS:SNAP)</v>
    <v>7</v>
    <v>8</v>
    <v>Finance</v>
    <v>9</v>
    <v>73.59</v>
    <v>19.614999999999998</v>
    <v>1.2673000000000001</v>
    <v>0.22</v>
    <v>3.5620000000000001E-3</v>
    <v>USD</v>
    <v>Snap Inc. is a camera company. The Company’s flagship product, Snapchat, is a camera application that helps people to communicate through short videos and images known as a Snap. The Company provides Camera, Friends Page, Discover, Snap Map, Memories and Spectacles. Snapchat opens directly into the Camera, helping in creating a Snap and sending it to friends. It offers a range of creative tools that enables people to personalize and add content to their Snaps. Its chat services includes creating and watching stories, chatting with groups, making voice and video calls, and communicating through a range of stickers and Bitmojis. Memories enable users to create Snaps and stories from their saved snaps, as well as their camera roll. It also offers Spectacles, its sunglasses that make Snap. The Company’s advertising products include Snap Ads and Sponsored Creative Tools, such as Sponsored Lenses and Sponsored Geofilters.</v>
    <v>3863</v>
    <v>New York Stock Exchange</v>
    <v>XNYS</v>
    <v>XNYS</v>
    <v>3000 31St Street, Loop North, SANTA MONICA, CA, 90405 US</v>
    <v>62.21</v>
    <v>183</v>
    <v>Software &amp; IT Services</v>
    <v>Stock</v>
    <v>44357.772637453127</v>
    <v>184</v>
    <v>60.8</v>
    <v>94441207090</v>
    <v>SNAP INC.</v>
    <v>SNAP INC.</v>
    <v>61.11</v>
    <v>0</v>
    <v>61.77</v>
    <v>61.99</v>
    <v>1523491000</v>
    <v>SNAP</v>
    <v>SNAP INC. (XNYS:SNAP)</v>
    <v>7062079</v>
    <v>16205805</v>
    <v>2012</v>
  </rv>
  <rv s="2">
    <v>185</v>
  </rv>
  <rv s="1">
    <v>en-US</v>
    <v>a23hqh</v>
    <v>268435456</v>
    <v>1</v>
    <v>Powered by Refinitiv</v>
    <v>0</v>
    <v>SPDR S&amp;P 500 ETF (ARCX:SPY)</v>
    <v>2</v>
    <v>3</v>
    <v>Finance</v>
    <v>12</v>
    <v>424.62</v>
    <v>296.74</v>
    <v>0.99639999999999995</v>
    <v>2.0415000000000001</v>
    <v>4.8419999999999999E-3</v>
    <v>USD</v>
    <v>NYSE Arca</v>
    <v>ARCX</v>
    <v>8.9999999999999998E-4</v>
    <v>424.62</v>
    <v>ETF</v>
    <v>44357.770311620312</v>
    <v>0</v>
    <v>421.56</v>
    <v>361937436057.19</v>
    <v>SPDR S&amp;P 500 ETF</v>
    <v>422.97</v>
    <v>421.65</v>
    <v>423.69150000000002</v>
    <v>SPY</v>
    <v>SPDR S&amp;P 500 ETF (ARCX:SPY)</v>
    <v>32161328</v>
    <v>67274842</v>
  </rv>
  <rv s="2">
    <v>187</v>
  </rv>
  <rv s="0">
    <v>https://www.bing.com/financeapi/forcetrigger?t=a1tkf2&amp;q=ARCX%3aFXI&amp;form=skydnc</v>
    <v>Learn more on Bing</v>
  </rv>
  <rv s="1">
    <v>en-US</v>
    <v>a1tkf2</v>
    <v>268435456</v>
    <v>1</v>
    <v>Powered by Refinitiv</v>
    <v>0</v>
    <v>iShares:China Large Cp (ARCX:FXI)</v>
    <v>2</v>
    <v>3</v>
    <v>Finance</v>
    <v>12</v>
    <v>54.524999999999999</v>
    <v>39.1</v>
    <v>0.83789999999999998</v>
    <v>0.26100000000000001</v>
    <v>5.6830000000000006E-3</v>
    <v>USD</v>
    <v>NYSE Arca</v>
    <v>ARCX</v>
    <v>7.4000000000000003E-3</v>
    <v>46.225000000000001</v>
    <v>ETF</v>
    <v>44357.775895578125</v>
    <v>189</v>
    <v>45.94</v>
    <v>4698714202.79</v>
    <v>iShares:China Large Cp</v>
    <v>46.005000000000003</v>
    <v>45.929000000000002</v>
    <v>46.19</v>
    <v>FXI</v>
    <v>iShares:China Large Cp (ARCX:FXI)</v>
    <v>8515622</v>
    <v>16772301</v>
  </rv>
  <rv s="2">
    <v>190</v>
  </rv>
  <rv s="0">
    <v>http://en.wikipedia.org/wiki/AT&amp;T</v>
    <v>Wikipedia</v>
  </rv>
  <rv s="3">
    <v>10</v>
    <v>192</v>
  </rv>
  <rv s="4">
    <v>10</v>
    <v>https://www.bing.com/th?id=AMMS_22edc37b3d4ca713a66f23973844e621&amp;qlt=95</v>
    <v>193</v>
    <v>0</v>
    <v>https://www.bing.com/images/search?form=xlimg&amp;q=at%26t+login</v>
    <v>Image of AT&amp;T INC.</v>
  </rv>
  <rv s="0">
    <v>https://www.bing.com/financeapi/forcetrigger?t=a23www&amp;q=XNYS%3aT&amp;form=skydnc</v>
    <v>Learn more on Bing</v>
  </rv>
  <rv s="5">
    <v>en-US</v>
    <v>a23www</v>
    <v>268435456</v>
    <v>1</v>
    <v>Powered by Refinitiv</v>
    <v>5</v>
    <v>AT&amp;T INC. (XNYS:T)</v>
    <v>7</v>
    <v>8</v>
    <v>Finance</v>
    <v>9</v>
    <v>33.880000000000003</v>
    <v>26.35</v>
    <v>0.75700000000000001</v>
    <v>0.13500000000000001</v>
    <v>4.6540000000000002E-3</v>
    <v>USD</v>
    <v>AT&amp;T Inc. is a holding company. The Company is a provider of telecommunications, media and technology services globally. The Company operates through four segments: Communication segment, WarnerMedia segment, Latin America segment and Xandr segment. The Communications segment provides wireless and wireline telecom, video and broadband services to consumers.The business units of the Communication segment includes Mobility, Entertainment Group and Business Wireline. The WarnerMedia segment develops, produces and distributes feature films, television, gaming and other content over various physical and digital formats. The business units of the WarnerMedia segment includes Turner, Home Box Office and Warner Bros. Latin America segment provides entertainment services in Latin America and wireless services in Mexico. Viro and Mexico are the business units of the Latin America segment. The Xandr segment provides advertising services.</v>
    <v>230000</v>
    <v>New York Stock Exchange</v>
    <v>XNYS</v>
    <v>XNYS</v>
    <v>208 S Akard St, DALLAS, TX, 75202-4206 US</v>
    <v>29.29</v>
    <v>194</v>
    <v>Telecommunications Services</v>
    <v>Stock</v>
    <v>44357.780959687501</v>
    <v>195</v>
    <v>29</v>
    <v>208095300000</v>
    <v>AT&amp;T INC.</v>
    <v>AT&amp;T INC.</v>
    <v>29.01</v>
    <v>0</v>
    <v>29.01</v>
    <v>29.145</v>
    <v>7140000000</v>
    <v>T</v>
    <v>AT&amp;T INC. (XNYS:T)</v>
    <v>18728102</v>
    <v>58101973</v>
    <v>1983</v>
  </rv>
  <rv s="2">
    <v>196</v>
  </rv>
  <rv s="4">
    <v>10</v>
    <v>https://www.bing.com/th?id=AMMS_bbdfa0a8c7dacf5547cec3c25b489ead&amp;qlt=95</v>
    <v>132</v>
    <v>0</v>
    <v>https://www.bing.com/images/search?form=xlimg&amp;q=norwegian+cruise+line</v>
    <v>Image of NORWEGIAN CRUISE LINE HOLDINGS LTD.</v>
  </rv>
  <rv s="5">
    <v>en-US</v>
    <v>axxudm</v>
    <v>268435456</v>
    <v>1</v>
    <v>Powered by Refinitiv</v>
    <v>5</v>
    <v>NORWEGIAN CRUISE LINE HOLDINGS LTD. (XNYS:NCLH)</v>
    <v>7</v>
    <v>8</v>
    <v>Finance</v>
    <v>9</v>
    <v>34.484999999999999</v>
    <v>12.56</v>
    <v>2.8521000000000001</v>
    <v>2.5000000000000001E-2</v>
    <v>7.6550000000000012E-4</v>
    <v>USD</v>
    <v>Norwegian Cruise Line Holdings Ltd. (NCLH) is a global cruise company. The Company operates the Norwegian Cruise Line, Oceania Cruises and Regent Seven Seas Cruises brands. The Company had 25 ships with approximately 50,400 Berths, as of May 1, 2017. The Company's brands offer itineraries to various destinations around the world, including Europe, Asia, Australia, New Zealand, South America, Africa, Canada, Bermuda, Caribbean, Alaska and Hawaii. The Company's brands offer various features, amenities, and activities, including various accommodations, multiple dining venues, bars and lounges, spa, casino and retail shopping areas and various entertainment choices. All the brands offer a selection of shore excursions at each port of call, as well as hotel packages for stays before or after a voyage. As of December 31, 2016, its Norwegian offered 14 ships that were purpose-built to deliver the Freestyle Cruising product, which offered freedom, flexibility and choice to its guests.</v>
    <v>34300</v>
    <v>New York Stock Exchange</v>
    <v>XNYS</v>
    <v>XNYS</v>
    <v>7665 CORPORATE DRIVE, MIAMI, FL, 33126 US</v>
    <v>33.130000000000003</v>
    <v>198</v>
    <v>Hotels &amp; Entertainment Services</v>
    <v>Stock</v>
    <v>44357.761118008595</v>
    <v>134</v>
    <v>31.79</v>
    <v>12091260105</v>
    <v>NORWEGIAN CRUISE LINE HOLDINGS LTD.</v>
    <v>NORWEGIAN CRUISE LINE HOLDINGS LTD.</v>
    <v>33.07</v>
    <v>0</v>
    <v>32.659999999999997</v>
    <v>32.685000000000002</v>
    <v>369933000</v>
    <v>NCLH</v>
    <v>NORWEGIAN CRUISE LINE HOLDINGS LTD. (XNYS:NCLH)</v>
    <v>12185506</v>
    <v>18664714</v>
    <v>2011</v>
  </rv>
  <rv s="2">
    <v>199</v>
  </rv>
  <rv s="0">
    <v>http://en.wikipedia.org/wiki/Ford_Motor_Company</v>
    <v>Wikipedia</v>
  </rv>
  <rv s="3">
    <v>10</v>
    <v>201</v>
  </rv>
  <rv s="4">
    <v>10</v>
    <v>https://www.bing.com/th?id=AMMS_cf0311a5f2d2dcb3110aca1404330618&amp;qlt=95</v>
    <v>202</v>
    <v>0</v>
    <v>https://www.bing.com/images/search?form=xlimg&amp;q=ford+motor+company</v>
    <v>Image of FORD MOTOR COMPANY</v>
  </rv>
  <rv s="0">
    <v>https://www.bing.com/financeapi/forcetrigger?t=a1sjw7&amp;q=XNYS%3aF&amp;form=skydnc</v>
    <v>Learn more on Bing</v>
  </rv>
  <rv s="5">
    <v>en-US</v>
    <v>a1sjw7</v>
    <v>268435456</v>
    <v>1</v>
    <v>Powered by Refinitiv</v>
    <v>5</v>
    <v>FORD MOTOR COMPANY (XNYS:F)</v>
    <v>7</v>
    <v>8</v>
    <v>Finance</v>
    <v>9</v>
    <v>16.454999999999998</v>
    <v>5.74</v>
    <v>1.1413</v>
    <v>-0.28499999999999998</v>
    <v>-1.8411E-2</v>
    <v>USD</v>
    <v>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v>
    <v>186000</v>
    <v>New York Stock Exchange</v>
    <v>XNYS</v>
    <v>XNYS</v>
    <v>1 American Rd, DEARBORN, MI, 48126-2701 US</v>
    <v>15.78</v>
    <v>203</v>
    <v>Automobiles &amp; Auto Parts</v>
    <v>Stock</v>
    <v>44357.783980925778</v>
    <v>204</v>
    <v>15.16</v>
    <v>59576434440</v>
    <v>FORD MOTOR COMPANY</v>
    <v>FORD MOTOR COMPANY</v>
    <v>15.59</v>
    <v>15.721500000000001</v>
    <v>15.48</v>
    <v>15.195</v>
    <v>3920792000</v>
    <v>F</v>
    <v>FORD MOTOR COMPANY (XNYS:F)</v>
    <v>56846975</v>
    <v>102155709</v>
    <v>1919</v>
  </rv>
  <rv s="2">
    <v>205</v>
  </rv>
  <rv s="0">
    <v>https://www.bing.com/financeapi/forcetrigger?t=a23xnm&amp;q=XNYS%3aTAL&amp;form=skydnc</v>
    <v>Learn more on Bing</v>
  </rv>
  <rv s="8">
    <v>en-US</v>
    <v>a23xnm</v>
    <v>268435456</v>
    <v>1</v>
    <v>Powered by Refinitiv</v>
    <v>19</v>
    <v>TAL Education Group (XNYS:TAL)</v>
    <v>14</v>
    <v>20</v>
    <v>Finance</v>
    <v>9</v>
    <v>90.96</v>
    <v>25.25</v>
    <v>0.13519999999999999</v>
    <v>2.04</v>
    <v>7.071100000000001E-2</v>
    <v>USD</v>
    <v>TAL Education Group is a holding company for a group of companies engaged in provision of after-school tutoring programs for primary and secondary school students in the People's Republic of China (the PRC). The Company mainly offer tutoring services to kindergarten through twelfth grade (K-12) students covering core academic subjects, including among others, mathematics, physics, chemistry, biology, history, geography, political science, English and Chinese. It also provides consulting services for overseas studies and preparation courses for major standardized tests, as well as operate several online community platforms including www.jzb.com (together with the Jiazhang Bang application (app)) and www.mmbang.com (together with the Mama Bang app). The Company’s main brands are Xueersi, Mobby, Firstleap, Izhikang and Shunshun Liuxue. The Company mainly operates its businesses in Mainland China and Hong Kong.</v>
    <v>70914</v>
    <v>New York Stock Exchange</v>
    <v>XNYS</v>
    <v>XNYS</v>
    <v>18F, Hesheng Building, 32 Zhongguancun Avenue, Haidian District, BEIJING, BEIJING, 100080 CN</v>
    <v>33.08</v>
    <v>Miscellaneous Educational Service Providers</v>
    <v>Stock</v>
    <v>44357.793884999999</v>
    <v>207</v>
    <v>29.602</v>
    <v>18602960000</v>
    <v>TAL Education Group</v>
    <v>TAL Education Group</v>
    <v>32.08</v>
    <v>0</v>
    <v>28.85</v>
    <v>30.89</v>
    <v>644822300</v>
    <v>TAL</v>
    <v>TAL Education Group (XNYS:TAL)</v>
    <v>28665645</v>
    <v>14532188</v>
    <v>2008</v>
  </rv>
  <rv s="2">
    <v>208</v>
  </rv>
  <rv s="0">
    <v>https://www.bing.com/financeapi/forcetrigger?t=bvana2&amp;q=XNYS%3aRKT&amp;form=skydnc</v>
    <v>Learn more on Bing</v>
  </rv>
  <rv s="21">
    <v>en-US</v>
    <v>bvana2</v>
    <v>268435456</v>
    <v>1</v>
    <v>Powered by Refinitiv</v>
    <v>51</v>
    <v>ROCKET COMPANIES, INC. (XNYS:RKT)</v>
    <v>14</v>
    <v>52</v>
    <v>Finance</v>
    <v>9</v>
    <v>41.098399999999998</v>
    <v>16.22</v>
    <v>-1.1000000000000001</v>
    <v>-5.0620999999999999E-2</v>
    <v>USD</v>
    <v>Rocket Companies, Inc. is a holding company that provides Rocket Mortgage online platform. The Company offers Rocket Mortgage app, which clients use to apply for a mortgage, interact with its team members, upload documents, e-sign documents, receive statements, and complete monthly payments, on the Apple App Store. Rocket Mortgage provides clients real-time quotes and access to mortgage calculators to help them choose the appropriate solutions to support their financial goals. The Company operates through two segments: Direct to Consumer and Partner Network. In the Direct to Consumer segment, it directly interacts with clients and clients using various performance marketing channels. In the Partner Network segment, It is focused on aligning its brand with other consumer-focused influencers and marketing partnerships who utilize its platform to provide their clients mortgage solutions with a client experience.</v>
    <v>20000</v>
    <v>New York Stock Exchange</v>
    <v>XNYS</v>
    <v>XNYS</v>
    <v>1050 Woodward Avenue, DETROIT, MI, 48226 US</v>
    <v>21.8</v>
    <v>Banking Services</v>
    <v>Stock</v>
    <v>44357.779067881253</v>
    <v>210</v>
    <v>20.36</v>
    <v>40957832390</v>
    <v>ROCKET COMPANIES, INC.</v>
    <v>ROCKET COMPANIES, INC.</v>
    <v>21.45</v>
    <v>8.6334999999999997</v>
    <v>21.73</v>
    <v>20.63</v>
    <v>1985353000</v>
    <v>RKT</v>
    <v>ROCKET COMPANIES, INC. (XNYS:RKT)</v>
    <v>6789954</v>
    <v>13773940</v>
  </rv>
  <rv s="2">
    <v>211</v>
  </rv>
  <rv s="0">
    <v>https://www.bing.com/financeapi/forcetrigger?t=a1rnyc&amp;q=XNYS%3aEDU&amp;form=skydnc</v>
    <v>Learn more on Bing</v>
  </rv>
  <rv s="8">
    <v>en-US</v>
    <v>a1rnyc</v>
    <v>268435456</v>
    <v>1</v>
    <v>Powered by Refinitiv</v>
    <v>19</v>
    <v>NEW ORIENTAL EDUCATION &amp; TECHNOLOGY GROUP INC. (XNYS:EDU)</v>
    <v>14</v>
    <v>20</v>
    <v>Finance</v>
    <v>9</v>
    <v>19.974</v>
    <v>7.71</v>
    <v>0.95330000000000004</v>
    <v>0.81</v>
    <v>8.9800000000000005E-2</v>
    <v>USD</v>
    <v>New Oriental Education &amp; Technology Group Inc is a China-based company principally engaged in the provision of educational programs, services and products. The Company provides educational services under its New Oriental brand. The Company operates its businesses through seven segments, including K-12 AST, test preparation and other courses (formerly known as language training and test preparation courses), primary and secondary school education, online education, content development and distribution, overseas study consulting services, pre-school education and study tour. The Company delivers education to its students in traditional classroom settings, in a combination of online and offline classroom setting with dualteacher model, and through pure-play online platforms.</v>
    <v>69438</v>
    <v>New York Stock Exchange</v>
    <v>XNYS</v>
    <v>XNYS</v>
    <v>No. 6 Hai Dian Zhong Street, Haidian District, BEIJING, BEIJING, 100080 CN</v>
    <v>10.29</v>
    <v>Miscellaneous Educational Service Providers</v>
    <v>Stock</v>
    <v>44357.801413807814</v>
    <v>213</v>
    <v>9.6199999999999992</v>
    <v>16850772770</v>
    <v>NEW ORIENTAL EDUCATION &amp; TECHNOLOGY GROUP INC.</v>
    <v>NEW ORIENTAL EDUCATION &amp; TECHNOLOGY GROUP INC.</v>
    <v>10.029999999999999</v>
    <v>37.660200000000003</v>
    <v>9.02</v>
    <v>9.83</v>
    <v>1714219000</v>
    <v>EDU</v>
    <v>NEW ORIENTAL EDUCATION &amp; TECHNOLOGY GROUP INC. (XNYS:EDU)</v>
    <v>63988449</v>
    <v>39292718</v>
    <v>2006</v>
  </rv>
  <rv s="2">
    <v>214</v>
  </rv>
  <rv s="0">
    <v>https://www.bing.com/financeapi/forcetrigger?t=bjkr8m&amp;q=XNAS%3aBNGO&amp;form=skydnc</v>
    <v>Learn more on Bing</v>
  </rv>
  <rv s="22">
    <v>en-US</v>
    <v>bjkr8m</v>
    <v>268435456</v>
    <v>1</v>
    <v>Powered by Refinitiv</v>
    <v>53</v>
    <v>BIONANO GENOMICS, INC. (XNAS:BNGO)</v>
    <v>14</v>
    <v>54</v>
    <v>Finance</v>
    <v>9</v>
    <v>15.69</v>
    <v>0.43</v>
    <v>-0.04</v>
    <v>-5.1480000000000007E-3</v>
    <v>USD</v>
    <v>Bionano Genomics, Inc. is a life sciences instrumentation company in the genome analysis space. The Company develops and markets the Saphyr system. The Company’s products include Sequencing for Discovery Research and Cytogenetics. Cytogenetics provide a clinical diagnosis, cytogenetic tests detect known variations that are linked to specific diseases or therapeutic responses. Saphyr system is platform for ultra-sensitive and ultra-specific structural variation detection that enables researchers and clinicians to accelerate the search for new diagnostics and therapeutic targets and to streamline the study of changes in chromosomes, which is known as cytogenetics. Sequencing for Discovery Research is primarily used to find single nucleotide variations responsible for disease or therapeutic response. The Company’s subsidiary, Lineagen, Inc., provides molecular diagnostics services for individuals.</v>
    <v>147</v>
    <v>Nasdaq Stock Market</v>
    <v>XNAS</v>
    <v>XNAS</v>
    <v>9540 Towne Centre Dr Ste 100, SAN DIEGO, CA, 92121-1989 US</v>
    <v>8.2100000000000009</v>
    <v>Healthcare Equipment &amp; Supplies</v>
    <v>Stock</v>
    <v>44357.803375971875</v>
    <v>216</v>
    <v>7.5</v>
    <v>2155507408</v>
    <v>BIONANO GENOMICS, INC.</v>
    <v>BIONANO GENOMICS, INC.</v>
    <v>7.8</v>
    <v>7.77</v>
    <v>7.73</v>
    <v>278849600</v>
    <v>BNGO</v>
    <v>BIONANO GENOMICS, INC. (XNAS:BNGO)</v>
    <v>18875683</v>
    <v>27145436</v>
    <v>2003</v>
  </rv>
  <rv s="2">
    <v>217</v>
  </rv>
  <rv s="5">
    <v>en-US</v>
    <v>a1xzim</v>
    <v>268435456</v>
    <v>1</v>
    <v>Powered by Refinitiv</v>
    <v>5</v>
    <v>MICROSOFT CORPORATION (XNAS:MSFT)</v>
    <v>7</v>
    <v>8</v>
    <v>Finance</v>
    <v>9</v>
    <v>263.19</v>
    <v>184.01</v>
    <v>0.78359999999999996</v>
    <v>0.01</v>
    <v>3.8779999999999998E-5</v>
    <v>USD</v>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v>163000</v>
    <v>Nasdaq Stock Market</v>
    <v>XNAS</v>
    <v>XNAS</v>
    <v>1 Microsoft Way, REDMOND, WA, 98052-6399 US</v>
    <v>258.08999999999997</v>
    <v>19</v>
    <v>Software &amp; IT Services</v>
    <v>Stock</v>
    <v>44361.57096653906</v>
    <v>20</v>
    <v>256.8</v>
    <v>1942393192499</v>
    <v>MICROSOFT CORPORATION</v>
    <v>MICROSOFT CORPORATION</v>
    <v>257.89999999999998</v>
    <v>35.097299999999997</v>
    <v>257.89</v>
    <v>257.89999999999998</v>
    <v>7531575000</v>
    <v>MSFT</v>
    <v>MICROSOFT CORPORATION (XNAS:MSFT)</v>
    <v>1180822</v>
    <v>23782339</v>
    <v>1993</v>
  </rv>
  <rv s="2">
    <v>219</v>
  </rv>
  <rv s="0">
    <v>https://www.bing.com/financeapi/forcetrigger?t=ayfa5r&amp;q=BATS%3aVXX&amp;form=skydnc</v>
    <v>Learn more on Bing</v>
  </rv>
  <rv s="23">
    <v>en-US</v>
    <v>ayfa5r</v>
    <v>268435456</v>
    <v>1</v>
    <v>Powered by Refinitiv</v>
    <v>55</v>
    <v>BARCLAYS PLC (BATS:VXX)</v>
    <v>14</v>
    <v>56</v>
    <v>Finance</v>
    <v>9</v>
    <v>152.39080000000001</v>
    <v>28.84</v>
    <v>1.6172</v>
    <v>0.46989999999999998</v>
    <v>1.6120000000000002E-2</v>
    <v>USD</v>
    <v>Barclays PLC is a holding company. The Company, through its subsidiaries, is a transatlantic consumer and wholesale bank with global reach offering products and services across personal, corporate and investment banking, credit cards and wealth management, anchored in the Company’s two home markets of the United Kingdom and the United States. The Company is organized into two business divisions: the Barclays UK division (Barclays UK) and the Barclays International division (Barclays International). Barclays UK offers everyday products and services to retail customers and small- to medium-sized enterprises based in the United Kingdom. Barclays UK is the ring-fenced bank for the United Kingdom, providing transactional, lending and investment products and services to Wealth and Business Banking customers and clients. Barclays International includes the corporate and Investment Bank, and Consumer, Cards and Payments.</v>
    <v>83000</v>
    <v>CBOE BZX Exchange</v>
    <v>BATS</v>
    <v>BATS</v>
    <v>Canary Wharf, 1 Churchill Place, LONDON, UNITED KINGDOM-NA, E14 5HP GB</v>
    <v>29.745000000000001</v>
    <v>Banking Services</v>
    <v>Stock</v>
    <v>44376.813610485937</v>
    <v>221</v>
    <v>28.89</v>
    <v>29150890000</v>
    <v>BARCLAYS PLC</v>
    <v>BARCLAYS PLC</v>
    <v>28.96</v>
    <v>29.15</v>
    <v>29.619900000000001</v>
    <v>16995620000</v>
    <v>VXX</v>
    <v>BARCLAYS PLC (BATS:VXX)</v>
    <v>12190452</v>
    <v>21927754</v>
    <v>1896</v>
  </rv>
  <rv s="2">
    <v>222</v>
  </rv>
  <rv s="5">
    <v>en-US</v>
    <v>axxudm</v>
    <v>268435456</v>
    <v>1</v>
    <v>Powered by Refinitiv</v>
    <v>5</v>
    <v>NORWEGIAN CRUISE LINE HOLDINGS LTD. (XNYS:NCLH)</v>
    <v>7</v>
    <v>8</v>
    <v>Finance</v>
    <v>9</v>
    <v>34.484999999999999</v>
    <v>12.56</v>
    <v>2.8466</v>
    <v>-0.245</v>
    <v>-8.4080000000000005E-3</v>
    <v>USD</v>
    <v>Norwegian Cruise Line Holdings Ltd. (NCLH) is a global cruise company. The Company operates the Norwegian Cruise Line, Oceania Cruises and Regent Seven Seas Cruises brands. The Company had 25 ships with approximately 50,400 Berths, as of May 1, 2017. The Company's brands offer itineraries to various destinations around the world, including Europe, Asia, Australia, New Zealand, South America, Africa, Canada, Bermuda, Caribbean, Alaska and Hawaii. The Company's brands offer various features, amenities, and activities, including various accommodations, multiple dining venues, bars and lounges, spa, casino and retail shopping areas and various entertainment choices. All the brands offer a selection of shore excursions at each port of call, as well as hotel packages for stays before or after a voyage. As of December 31, 2016, its Norwegian offered 14 ships that were purpose-built to deliver the Freestyle Cruising product, which offered freedom, flexibility and choice to its guests.</v>
    <v>34300</v>
    <v>New York Stock Exchange</v>
    <v>XNYS</v>
    <v>XNYS</v>
    <v>7665 CORPORATE DRIVE, MIAMI, FL, 33126 US</v>
    <v>29.61</v>
    <v>198</v>
    <v>Hotels &amp; Entertainment Services</v>
    <v>Stock</v>
    <v>44376.832700983592</v>
    <v>134</v>
    <v>28.89</v>
    <v>10689214035</v>
    <v>NORWEGIAN CRUISE LINE HOLDINGS LTD.</v>
    <v>NORWEGIAN CRUISE LINE HOLDINGS LTD.</v>
    <v>29.22</v>
    <v>0</v>
    <v>29.14</v>
    <v>28.895</v>
    <v>369933000</v>
    <v>NCLH</v>
    <v>NORWEGIAN CRUISE LINE HOLDINGS LTD. (XNYS:NCLH)</v>
    <v>11243737</v>
    <v>16013509</v>
    <v>2011</v>
  </rv>
  <rv s="2">
    <v>224</v>
  </rv>
  <rv s="0">
    <v>https://www.bing.com/financeapi/forcetrigger?t=bprntc&amp;q=XNAS%3aRIDE&amp;form=skydnc</v>
    <v>Learn more on Bing</v>
  </rv>
  <rv s="24">
    <v>en-US</v>
    <v>bprntc</v>
    <v>268435456</v>
    <v>1</v>
    <v>Powered by Refinitiv</v>
    <v>57</v>
    <v>LORDSTOWN MOTORS CORP (XNAS:RIDE)</v>
    <v>14</v>
    <v>58</v>
    <v>Finance</v>
    <v>9</v>
    <v>31.8</v>
    <v>6.69</v>
    <v>-0.44500000000000001</v>
    <v>-3.7744E-2</v>
    <v>USD</v>
    <v>Lordstown Motors Corp., formerly DiamondPeak Holdings Corp., is an automotive company. The Company designs and manufactures electric vehicles. Its vehicle, the Lordstown Endurance, is an electric pickup truck. Its In-Wheel Drive System utilizes four hub motors with integrated software. Its hub motor is an electric motor that is incorporated into the hub of a wheel and drives it directly. The Company's integrated software monitors and adjusts each wheel. The Company's Telematics system provides owners a range of data for fleet management. Its trucks are focused on the commercial fleet market.</v>
    <v>320</v>
    <v>Nasdaq Stock Market</v>
    <v>XNAS</v>
    <v>XNAS</v>
    <v>2300 Hallock Young Road, Lordstown, OH, 44481 US</v>
    <v>11.65</v>
    <v>Automobiles &amp; Auto Parts</v>
    <v>Stock</v>
    <v>44376.818090937501</v>
    <v>226</v>
    <v>11.14</v>
    <v>2003293293</v>
    <v>LORDSTOWN MOTORS CORP</v>
    <v>LORDSTOWN MOTORS CORP</v>
    <v>11.52</v>
    <v>11.79</v>
    <v>11.345000000000001</v>
    <v>RIDE</v>
    <v>LORDSTOWN MOTORS CORP (XNAS:RIDE)</v>
    <v>4446908</v>
    <v>16701566</v>
    <v>2018</v>
  </rv>
  <rv s="2">
    <v>227</v>
  </rv>
  <rv s="0">
    <v>https://www.bing.com/financeapi/forcetrigger?t=a1ptbh&amp;q=XNYS%3aCLF&amp;form=skydnc</v>
    <v>Learn more on Bing</v>
  </rv>
  <rv s="8">
    <v>en-US</v>
    <v>a1ptbh</v>
    <v>268435456</v>
    <v>1</v>
    <v>Powered by Refinitiv</v>
    <v>19</v>
    <v>CLEVELAND-CLIFFS INC. (XNYS:CLF)</v>
    <v>59</v>
    <v>60</v>
    <v>Finance</v>
    <v>11</v>
    <v>24.77</v>
    <v>5.16</v>
    <v>2.2349000000000001</v>
    <v>-1.155</v>
    <v>-5.7953000000000005E-2</v>
    <v>USD</v>
    <v>Cleveland-Cliffs Inc is a vertically integrated producer of iron ore and steel products. The Company has upstream and downstream operations. It supplies both customized iron ore pellets and steel solutions. Its segments include Steel and Manufacturing segment and Mining and Pelletizing segment. Its Steel and Manufacturing segment is a producer of flat-rolled carbon, stainless and electrical steel products, primarily for the automotive, infrastructure and manufacturing, and distributors and converters markets. The Company's Steel and Manufacturing segment includes subsidiaries that provide customer solutions with carbon and stainless-steel tubing products, engineered solutions, tool design and build, hot- and cold-stamped steel components and complex assemblies. Its Mining and Pelletizing segment is a supplier of iron ore pellets to the North American steel industry from its mines and pellet plants located in Michigan and Minnesota.</v>
    <v>25000</v>
    <v>New York Stock Exchange</v>
    <v>XNYS</v>
    <v>XNYS</v>
    <v>200 Public Sq Ste 3300, CLEVELAND, OH, 44114-2315 US</v>
    <v>19.329999999999998</v>
    <v>Metals &amp; Mining</v>
    <v>Stock</v>
    <v>44396.577990474216</v>
    <v>229</v>
    <v>18.7226</v>
    <v>9376278182</v>
    <v>CLEVELAND-CLIFFS INC.</v>
    <v>CLEVELAND-CLIFFS INC.</v>
    <v>19.2</v>
    <v>0</v>
    <v>19.93</v>
    <v>18.774999999999999</v>
    <v>499402300</v>
    <v>CLF</v>
    <v>CLEVELAND-CLIFFS INC. (XNYS:CLF)</v>
    <v>6560037</v>
    <v>31291161</v>
    <v>1985</v>
  </rv>
  <rv s="2">
    <v>230</v>
  </rv>
  <rv s="0">
    <v>http://en.wikipedia.org/wiki/ExxonMobil</v>
    <v>Wikipedia</v>
  </rv>
  <rv s="3">
    <v>10</v>
    <v>232</v>
  </rv>
  <rv s="4">
    <v>10</v>
    <v>https://www.bing.com/th?id=AMMS_a92fdfeb8644bf85ee9299accf15739c&amp;qlt=95</v>
    <v>233</v>
    <v>0</v>
    <v>https://www.bing.com/images/search?form=xlimg&amp;q=exxonmobil</v>
    <v>Image of EXXON MOBIL CORPORATION</v>
  </rv>
  <rv s="0">
    <v>https://www.bing.com/financeapi/forcetrigger?t=a269ec&amp;q=XNYS%3aXOM&amp;form=skydnc</v>
    <v>Learn more on Bing</v>
  </rv>
  <rv s="5">
    <v>en-US</v>
    <v>a269ec</v>
    <v>268435456</v>
    <v>1</v>
    <v>Powered by Refinitiv</v>
    <v>5</v>
    <v>EXXON MOBIL CORPORATION (XNYS:XOM)</v>
    <v>61</v>
    <v>62</v>
    <v>Finance</v>
    <v>9</v>
    <v>64.924999999999997</v>
    <v>31.11</v>
    <v>1.4441999999999999</v>
    <v>1.5149999999999999</v>
    <v>2.7073E-2</v>
    <v>USD</v>
    <v>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v>
    <v>72000</v>
    <v>New York Stock Exchange</v>
    <v>XNYS</v>
    <v>XNYS</v>
    <v>5959 LAS COLINAS BLVD, IRVING, TX, 75039-2298 US</v>
    <v>57.65</v>
    <v>234</v>
    <v>Oil &amp; Gas</v>
    <v>Stock</v>
    <v>44398.611245277345</v>
    <v>235</v>
    <v>56.83</v>
    <v>243322654025</v>
    <v>EXXON MOBIL CORPORATION</v>
    <v>EXXON MOBIL CORPORATION</v>
    <v>56.86</v>
    <v>0</v>
    <v>55.96</v>
    <v>57.475000000000001</v>
    <v>4233539000</v>
    <v>XOM</v>
    <v>EXXON MOBIL CORPORATION (XNYS:XOM)</v>
    <v>5241398</v>
    <v>23467272</v>
    <v>1882</v>
  </rv>
  <rv s="2">
    <v>236</v>
  </rv>
  <rv s="8">
    <v>en-US</v>
    <v>a1vmf2</v>
    <v>268435456</v>
    <v>1</v>
    <v>Powered by Refinitiv</v>
    <v>19</v>
    <v>INTEL CORPORATION (XNAS:INTC)</v>
    <v>14</v>
    <v>20</v>
    <v>Finance</v>
    <v>9</v>
    <v>68.489999999999995</v>
    <v>43.61</v>
    <v>0.60360000000000003</v>
    <v>-0.1</v>
    <v>-1.781E-3</v>
    <v>USD</v>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v>110600</v>
    <v>Nasdaq Stock Market</v>
    <v>XNAS</v>
    <v>XNAS</v>
    <v>2200 Mission College Blvd, SANTA CLARA, CA, 95054-1537 US</v>
    <v>56.17</v>
    <v>Semiconductors &amp; Semiconductor Equipment</v>
    <v>Stock</v>
    <v>44378.563378691404</v>
    <v>107</v>
    <v>56.01</v>
    <v>226289520000</v>
    <v>INTEL CORPORATION</v>
    <v>INTEL CORPORATION</v>
    <v>56.11</v>
    <v>12.6188</v>
    <v>56.14</v>
    <v>56.04</v>
    <v>4038000000</v>
    <v>INTC</v>
    <v>INTEL CORPORATION (XNAS:INTC)</v>
    <v>684137</v>
    <v>23189756</v>
    <v>1989</v>
  </rv>
  <rv s="2">
    <v>238</v>
  </rv>
  <rv s="5">
    <v>en-US</v>
    <v>a1ndww</v>
    <v>268435456</v>
    <v>1</v>
    <v>Powered by Refinitiv</v>
    <v>5</v>
    <v>ADVANCED MICRO DEVICES, INC. (XNAS:AMD)</v>
    <v>61</v>
    <v>62</v>
    <v>Finance</v>
    <v>9</v>
    <v>105.7317</v>
    <v>72.5</v>
    <v>1.9973000000000001</v>
    <v>4.9800000000000004</v>
    <v>5.0853000000000002E-2</v>
    <v>USD</v>
    <v>Advanced Micro Devices, Inc. is a global semiconductor company. The Company’s products include x86 microprocessors (CPUs), accelerated processing units (APUs), discrete graphics processing units (GPUs), semi-custom System-on-Chip (SOC) products and chipsets for the personal computer (PC), gaming, datacenter and markets. The Company's segments include the Computing and Graphics segment, and the Enterprise, Embedded and Semi-Custom segment. The Computing and Graphics segment primarily includes desktop and notebook processors and chipsets, discrete and integrated graphics processing units (GPUs), data center and professional GPUs and development services. The Enterprise, Embedded and Semi-Custom segment primarily includes server and embedded processors, semi-custom SoC products, development services and technology for game consoles.</v>
    <v>12600</v>
    <v>Nasdaq Stock Market</v>
    <v>XNAS</v>
    <v>XNAS</v>
    <v>2485 Augustine Dr, SANTA CLARA, CA, 95054-3002 US</v>
    <v>105.7317</v>
    <v>13</v>
    <v>Semiconductors &amp; Semiconductor Equipment</v>
    <v>Stock</v>
    <v>44406.815058575783</v>
    <v>14</v>
    <v>96.581999999999994</v>
    <v>125037811110</v>
    <v>ADVANCED MICRO DEVICES, INC.</v>
    <v>ADVANCED MICRO DEVICES, INC.</v>
    <v>96.66</v>
    <v>34.9544</v>
    <v>97.93</v>
    <v>102.91</v>
    <v>1215021000</v>
    <v>AMD</v>
    <v>ADVANCED MICRO DEVICES, INC. (XNAS:AMD)</v>
    <v>151198816</v>
    <v>43666756</v>
    <v>1969</v>
  </rv>
  <rv s="2">
    <v>240</v>
  </rv>
  <rv s="0">
    <v>https://www.bing.com/financeapi/forcetrigger?t=bvffur&amp;q=XNYS%3aBEKE&amp;form=skydnc</v>
    <v>Learn more on Bing</v>
  </rv>
  <rv s="21">
    <v>en-US</v>
    <v>bvffur</v>
    <v>268435456</v>
    <v>1</v>
    <v>Powered by Refinitiv</v>
    <v>51</v>
    <v>Ke Holdings Inc (XNYS:BEKE)</v>
    <v>59</v>
    <v>63</v>
    <v>Finance</v>
    <v>9</v>
    <v>79.400000000000006</v>
    <v>15.35</v>
    <v>1.2450000000000001</v>
    <v>6.5665000000000001E-2</v>
    <v>USD</v>
    <v>KE Holdings Inc is a China-based company engaged in provision of housing transactions and related services. The Company mainly operates its businesses through its online and offline platform called Beike. The Company's businesses are comprised of existing home transaction services, new home transaction services and emerging and other services, such as home renovation services and financial services. The Company owns the brand Lianjia under which it operates real estate brokerage businesses.</v>
    <v>119658</v>
    <v>New York Stock Exchange</v>
    <v>XNYS</v>
    <v>XNYS</v>
    <v>Building Fudao, No. 11 Kaituo Road, BEIJING, BEIJING, 100085 CN</v>
    <v>20.87</v>
    <v>Real Estate Operations</v>
    <v>Stock</v>
    <v>44434.780372719528</v>
    <v>242</v>
    <v>18.774999999999999</v>
    <v>22579420000</v>
    <v>Ke Holdings Inc</v>
    <v>Ke Holdings Inc</v>
    <v>18.8</v>
    <v>47.080100000000002</v>
    <v>18.96</v>
    <v>20.204999999999998</v>
    <v>396965900</v>
    <v>BEKE</v>
    <v>Ke Holdings Inc (XNYS:BEKE)</v>
    <v>13971609</v>
    <v>17824211</v>
  </rv>
  <rv s="2">
    <v>243</v>
  </rv>
  <rv s="0">
    <v>http://creativecommons.org/licenses/by/3.0</v>
    <v>CC BY 3.0</v>
  </rv>
  <rv s="0">
    <v>http://en.wikipedia.org/wiki/American_Eagle_Outfitters</v>
    <v>Wikipedia</v>
  </rv>
  <rv s="3">
    <v>245</v>
    <v>246</v>
  </rv>
  <rv s="4">
    <v>10</v>
    <v>https://www.bing.com/th?id=AMMS_82c80074e8070bc519fca061d5b0e13d&amp;qlt=95</v>
    <v>247</v>
    <v>0</v>
    <v>https://www.bing.com/images/search?form=xlimg&amp;q=american+eagle+outfitters</v>
    <v>Image of AMERICAN EAGLE OUTFITTERS, INC.</v>
  </rv>
  <rv s="0">
    <v>https://www.bing.com/financeapi/forcetrigger?t=a1my8m&amp;q=XNYS%3aAEO&amp;form=skydnc</v>
    <v>Learn more on Bing</v>
  </rv>
  <rv s="5">
    <v>en-US</v>
    <v>a1my8m</v>
    <v>268435456</v>
    <v>1</v>
    <v>Powered by Refinitiv</v>
    <v>5</v>
    <v>AMERICAN EAGLE OUTFITTERS, INC. (XNYS:AEO)</v>
    <v>61</v>
    <v>62</v>
    <v>Finance</v>
    <v>9</v>
    <v>38.99</v>
    <v>11.25</v>
    <v>1.4501999999999999</v>
    <v>-0.41020000000000001</v>
    <v>-1.2920000000000001E-2</v>
    <v>USD</v>
    <v>American Eagle Outfitters, Inc. is a multi-brand specialty retailer. The Company offers a range of apparel and accessories for men and women under the American Eagle brand and intimates, apparel and personal care products for women under the Aerie brand. It operates stores in the United States, Canada, Mexico and Hong Kong. The Company operates and licenses approximately 1,300 retail stores and are online at www.ae.com and www.aerie.com in the United States and internationally. Its company-owned retail stores are located in shopping malls, lifestyle centers and street locations in the United States, Canada, Mexico and Hong Kong. Its other brands include Tailgate and Todd Snyder New York. Tailgate is an apparel brand with a college town store concept . Todd Snyder New York is a menswear brand and operates approximately two Todd Snyder New York brand stores. The Company operates approximately 940 American Eagle stores and over 148 Aerie stand-alone stores.</v>
    <v>6500</v>
    <v>New York Stock Exchange</v>
    <v>XNYS</v>
    <v>XNYS</v>
    <v>77 Hot Metal St, PITTSBURGH, PA, 15203-2382 US</v>
    <v>31.47</v>
    <v>248</v>
    <v>Specialty Retailers</v>
    <v>Stock</v>
    <v>44434.780508240627</v>
    <v>249</v>
    <v>29.52</v>
    <v>5256210968</v>
    <v>AMERICAN EAGLE OUTFITTERS, INC.</v>
    <v>AMERICAN EAGLE OUTFITTERS, INC.</v>
    <v>30.92</v>
    <v>44.3566</v>
    <v>31.75</v>
    <v>31.3398</v>
    <v>167716800</v>
    <v>AEO</v>
    <v>AMERICAN EAGLE OUTFITTERS, INC. (XNYS:AEO)</v>
    <v>8645899</v>
    <v>3486145</v>
    <v>1972</v>
  </rv>
  <rv s="2">
    <v>250</v>
  </rv>
  <rv s="0">
    <v>https://www.bing.com/financeapi/forcetrigger?t=a1t4f2&amp;q=XNAS%3aTTCF&amp;form=skydnc</v>
    <v>Learn more on Bing</v>
  </rv>
  <rv s="6">
    <v>en-US</v>
    <v>a1t4f2</v>
    <v>268435456</v>
    <v>1</v>
    <v>Powered by Refinitiv</v>
    <v>13</v>
    <v>Tattooed Chef, Inc. (XNAS:TTCF)</v>
    <v>59</v>
    <v>64</v>
    <v>Finance</v>
    <v>9</v>
    <v>28.64</v>
    <v>14.093</v>
    <v>-0.13</v>
    <v>-6.182E-3</v>
    <v>USD</v>
    <v>Tattooed Chef, Inc., formerly Forum Merger II Corporation, is a plant-based food company. The Company is principally engaged in manufacturing plant-based foods. The Company supply's plant-based products to retailers in the United States, with products such as ready-to-cook bowls, zucchini spirals, riced cauliflower, acai and smoothie bowls, quesadillas, burritos and cauliflower pizza crusts, which are available both in private label and in the frozen food sections of retail food stores across the United States.</v>
    <v>500</v>
    <v>Nasdaq Stock Market</v>
    <v>XNAS</v>
    <v>XNAS</v>
    <v>6305 ALONDRA BLVD., PARAMOUNT, CA, 90723 US</v>
    <v>21.8414</v>
    <v>Food &amp; Tobacco</v>
    <v>Stock</v>
    <v>44439.582491503905</v>
    <v>252</v>
    <v>20.66</v>
    <v>1712808086</v>
    <v>Tattooed Chef, Inc.</v>
    <v>Tattooed Chef, Inc.</v>
    <v>21.3</v>
    <v>32.430100000000003</v>
    <v>21.03</v>
    <v>20.9</v>
    <v>81952540</v>
    <v>TTCF</v>
    <v>Tattooed Chef, Inc. (XNAS:TTCF)</v>
    <v>496069</v>
    <v>2152120</v>
    <v>2018</v>
  </rv>
  <rv s="2">
    <v>253</v>
  </rv>
  <rv s="0">
    <v>http://en.wikipedia.org/wiki/Uber</v>
    <v>Wikipedia</v>
  </rv>
  <rv s="3">
    <v>10</v>
    <v>255</v>
  </rv>
  <rv s="4">
    <v>10</v>
    <v>https://www.bing.com/th?id=AMMS_0380fcd62d62b6f5639fb1722f14b94a&amp;qlt=95</v>
    <v>256</v>
    <v>0</v>
    <v>https://www.bing.com/images/search?form=xlimg&amp;q=uber</v>
    <v>Image of UBER TECHNOLOGIES, INC.</v>
  </rv>
  <rv s="0">
    <v>https://www.bing.com/financeapi/forcetrigger?t=bptw77&amp;q=XNYS%3aUBER&amp;form=skydnc</v>
    <v>Learn more on Bing</v>
  </rv>
  <rv s="25">
    <v>en-US</v>
    <v>bptw77</v>
    <v>268435456</v>
    <v>1</v>
    <v>Powered by Refinitiv</v>
    <v>65</v>
    <v>UBER TECHNOLOGIES, INC. (XNYS:UBER)</v>
    <v>61</v>
    <v>66</v>
    <v>Finance</v>
    <v>11</v>
    <v>64.05</v>
    <v>28.48</v>
    <v>-0.41</v>
    <v>-9.2589999999999999E-3</v>
    <v>USD</v>
    <v>Uber Technologies, Inc. (Uber) develops and operates technology applications supporting a variety of offerings on its platform. The Company's operating segments include Mobility, Delivery, Freight, and Advanced Technologies Group (ATG) and Other Technology Programs Segment. Mobility refers to products that connect consumers with Mobility drivers who provide rides in a variety of vehicles, such as cars, auto rickshaws, motorbikes, minibuses, or taxis. Delivery offering allows consumers to search for and discover local restaurants, order meal, and either pick-up at the restaurant or have the meal delivered and, in certain markets, also includes offerings for grocery and convenience store delivery. The Freight segment connects carriers with shippers on its platform and gives the ability to book a shipment. The ATG and Other Technology Programs segment is responsible for the development and commercialization of autonomous vehicle and ridesharing technologies, as well as Uber Elevate.</v>
    <v>22800</v>
    <v>New York Stock Exchange</v>
    <v>XNYS</v>
    <v>XNYS</v>
    <v>1515 3Rd Street, SAN FRANCISCO, CA, 94158 US</v>
    <v>44.27</v>
    <v>257</v>
    <v>Software &amp; IT Services</v>
    <v>Stock</v>
    <v>44417.664523182815</v>
    <v>258</v>
    <v>43.219900000000003</v>
    <v>82114111200</v>
    <v>UBER TECHNOLOGIES, INC.</v>
    <v>UBER TECHNOLOGIES, INC.</v>
    <v>44.19</v>
    <v>0</v>
    <v>44.28</v>
    <v>43.87</v>
    <v>1871760000</v>
    <v>UBER</v>
    <v>UBER TECHNOLOGIES, INC. (XNYS:UBER)</v>
    <v>7827818</v>
    <v>22525016</v>
    <v>2010</v>
  </rv>
  <rv s="2">
    <v>259</v>
  </rv>
  <rv s="0">
    <v>https://creativecommons.org/licenses/by-sa/3.0</v>
    <v>CC BY 2.0</v>
  </rv>
  <rv s="0">
    <v>http://de.wikipedia.org/wiki/Zynga</v>
    <v>Wikipedia</v>
  </rv>
  <rv s="3">
    <v>261</v>
    <v>262</v>
  </rv>
  <rv s="4">
    <v>10</v>
    <v>https://www.bing.com/th?id=AMMS_c61c5317144f33f72756fd3c6f994fae&amp;qlt=95</v>
    <v>263</v>
    <v>0</v>
    <v>https://www.bing.com/images/search?form=xlimg&amp;q=zynga</v>
    <v>Image of ZYNGA INC.</v>
  </rv>
  <rv s="0">
    <v>https://www.bing.com/financeapi/forcetrigger?t=a26hbh&amp;q=XNAS%3aZNGA&amp;form=skydnc</v>
    <v>Learn more on Bing</v>
  </rv>
  <rv s="5">
    <v>en-US</v>
    <v>a26hbh</v>
    <v>268435456</v>
    <v>1</v>
    <v>Powered by Refinitiv</v>
    <v>5</v>
    <v>ZYNGA INC. (XNAS:ZNGA)</v>
    <v>61</v>
    <v>62</v>
    <v>Finance</v>
    <v>11</v>
    <v>12.32</v>
    <v>7.77</v>
    <v>2.9399999999999999E-2</v>
    <v>0.16</v>
    <v>1.8475999999999999E-2</v>
    <v>USD</v>
    <v>Zynga Inc. is a provider of social game services. The Company develops, markets and operates social games as live services played on mobile platforms, such as iPhone Operating System (iOS) operating system and Android operating system and social networking sites, such as Facebook. The Company has developed a range of social games, including games in its Slots, Words With Friends, Zynga Poker and FarmVille franchises. It operates its games as live services and updates them with new features. It analyzes the data generated by its players' game play and social interactions to guide the creation of new content and features. The Company operates its games as live services that are available anytime and anywhere. The Company invests in game categories, including Social Casino, Casual, Action Strategy and Invest Express. Social Casino includes Zynga Poker and its Slots games, such as Hit It Rich! Slots, Wizard of Oz Slots, Willy Wonka and the Chocolate Factory Slots, and Black Diamond Casino.</v>
    <v>2245</v>
    <v>Nasdaq Stock Market</v>
    <v>XNAS</v>
    <v>XNAS</v>
    <v>699 8th St, SAN FRANCISCO, CA, 94103-4901 US</v>
    <v>8.8399000000000001</v>
    <v>264</v>
    <v>Software &amp; IT Services</v>
    <v>Stock</v>
    <v>44434.770177719533</v>
    <v>265</v>
    <v>8.6</v>
    <v>9630478620</v>
    <v>ZYNGA INC.</v>
    <v>ZYNGA INC.</v>
    <v>8.68</v>
    <v>300.32420000000002</v>
    <v>8.66</v>
    <v>8.82</v>
    <v>1091891000</v>
    <v>ZNGA</v>
    <v>ZYNGA INC. (XNAS:ZNGA)</v>
    <v>12169082</v>
    <v>25259252</v>
    <v>2007</v>
  </rv>
  <rv s="2">
    <v>266</v>
  </rv>
  <rv s="0">
    <v>https://www.bing.com/financeapi/forcetrigger?t=aw2enm&amp;q=ARCX%3aKWEB&amp;form=skydnc</v>
    <v>Learn more on Bing</v>
  </rv>
  <rv s="1">
    <v>en-US</v>
    <v>aw2enm</v>
    <v>268435456</v>
    <v>1</v>
    <v>Powered by Refinitiv</v>
    <v>0</v>
    <v>KraneShs:CSI China Intrt (ARCX:KWEB)</v>
    <v>67</v>
    <v>68</v>
    <v>Finance</v>
    <v>12</v>
    <v>104.94</v>
    <v>43.39</v>
    <v>0.49759999999999999</v>
    <v>-0.6</v>
    <v>-1.2107000000000001E-2</v>
    <v>USD</v>
    <v>NYSE Arca</v>
    <v>ARCX</v>
    <v>6.9999999999999993E-3</v>
    <v>49.53</v>
    <v>ETF</v>
    <v>44434.780576700781</v>
    <v>268</v>
    <v>48.74</v>
    <v>5113881600</v>
    <v>KraneShs:CSI China Intrt</v>
    <v>49.04</v>
    <v>49.56</v>
    <v>48.96</v>
    <v>KWEB</v>
    <v>KraneShs:CSI China Intrt (ARCX:KWEB)</v>
    <v>6406825</v>
    <v>14734058</v>
  </rv>
  <rv s="2">
    <v>269</v>
  </rv>
  <rv s="0">
    <v>http://ja.wikipedia.org/wiki/アメリカン・イーグル・アウトフィッターズ</v>
    <v>Wikipedia</v>
  </rv>
  <rv s="3">
    <v>10</v>
    <v>271</v>
  </rv>
  <rv s="4">
    <v>10</v>
    <v>https://www.bing.com/th?id=AMMS_ccfc35118e0b30e4d43d90d97b30e622&amp;qlt=95</v>
    <v>272</v>
    <v>0</v>
    <v>https://www.bing.com/images/search?form=xlimg&amp;q=american+eagle+outfitters</v>
    <v>Image of AMERICAN EAGLE OUTFITTERS, INC.</v>
  </rv>
  <rv s="26">
    <v>en-US</v>
    <v>a1my8m</v>
    <v>268435456</v>
    <v>1</v>
    <v>Powered by Refinitiv</v>
    <v>69</v>
    <v>AMERICAN EAGLE OUTFITTERS, INC. (XNYS:AEO)</v>
    <v>61</v>
    <v>70</v>
    <v>Finance</v>
    <v>71</v>
    <v>38.99</v>
    <v>13.36</v>
    <v>1.4718</v>
    <v>0.34</v>
    <v>3.826E-3</v>
    <v>1.3178E-2</v>
    <v>0.1</v>
    <v>USD</v>
    <v>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The Company operates approximately 1,000 retail stores in the United States. It also operates online at www.ae.com and www.aerie.com, and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v>
    <v>6500</v>
    <v>New York Stock Exchange</v>
    <v>XNYS</v>
    <v>XNYS</v>
    <v>77 Hot Metal St, PITTSBURGH, PA, 15203-2382 US</v>
    <v>26.434999999999999</v>
    <v>273</v>
    <v>Specialty Retailers</v>
    <v>Stock</v>
    <v>44470.996416758593</v>
    <v>249</v>
    <v>25.33</v>
    <v>4407118000</v>
    <v>AMERICAN EAGLE OUTFITTERS, INC.</v>
    <v>AMERICAN EAGLE OUTFITTERS, INC.</v>
    <v>26.01</v>
    <v>18.694800000000001</v>
    <v>25.8</v>
    <v>26.14</v>
    <v>26.24</v>
    <v>168596700</v>
    <v>AEO</v>
    <v>AMERICAN EAGLE OUTFITTERS, INC. (XNYS:AEO)</v>
    <v>7958325</v>
    <v>5596616</v>
    <v>1972</v>
  </rv>
  <rv s="2">
    <v>274</v>
  </rv>
  <rv s="0">
    <v>http://es.wikipedia.org/wiki/Vale_S.A.</v>
    <v>Wikipedia</v>
  </rv>
  <rv s="3">
    <v>10</v>
    <v>276</v>
  </rv>
  <rv s="4">
    <v>10</v>
    <v>https://www.bing.com/th?id=AMMS_cf3cd923ec86f4edc8a0772ac1ee40c3&amp;qlt=95</v>
    <v>277</v>
    <v>0</v>
    <v>https://www.bing.com/images/search?form=xlimg&amp;q=vale+mining+company</v>
    <v>Image of Vale SA</v>
  </rv>
  <rv s="0">
    <v>https://www.bing.com/financeapi/forcetrigger?t=a256im&amp;q=XNYS%3aVALE&amp;form=skydnc</v>
    <v>Learn more on Bing</v>
  </rv>
  <rv s="26">
    <v>en-US</v>
    <v>a256im</v>
    <v>268435456</v>
    <v>1</v>
    <v>Powered by Refinitiv</v>
    <v>69</v>
    <v>Vale SA (XNYS:VALE)</v>
    <v>61</v>
    <v>70</v>
    <v>Finance</v>
    <v>71</v>
    <v>23.175000000000001</v>
    <v>10.385</v>
    <v>1.181</v>
    <v>0.25</v>
    <v>5.6340000000000001E-3</v>
    <v>1.7920999999999999E-2</v>
    <v>0.08</v>
    <v>USD</v>
    <v>Vale S.A. is a global producer of iron ore and iron ore pellets, key raw materials for steelmaking, and producer of nickel. The Company also produces copper, metallurgical and thermal coal, potash, phosphates and other fertilizer nutrients, manganese ore, ferroalloys, platinum group metals, gold, silver and cobalt. The Company's segments include Ferrous minerals, which comprises the production and extraction of ferrous minerals, as iron ore fines, iron ore pellets and its logistic services, manganese and ferroalloys and others ferrous products and services; Coal, which comprises the extraction of metallurgical and thermal coal and its logistic services; Base metals, which includes the production and extraction of non-ferrous minerals, and are presented as nickel and its byproducts, and copper (copper concentrated), and Others, which comprises sales and expenses of other products, services and investments in joint ventures and associate in other business.</v>
    <v>74316</v>
    <v>New York Stock Exchange</v>
    <v>XNYS</v>
    <v>XNYS</v>
    <v>Torre Oscar Niemeyer, Praia de Botafogo n 186 sala 701 a sala 1901, Botafogo, RIO DE JANEIRO, RIO DE JANEIRO, 22.250-145 BR</v>
    <v>14.365</v>
    <v>278</v>
    <v>Metals &amp; Mining</v>
    <v>Stock</v>
    <v>44470.99987043906</v>
    <v>279</v>
    <v>14.01</v>
    <v>72927080000</v>
    <v>Vale SA</v>
    <v>Vale SA</v>
    <v>14.285</v>
    <v>3.8923999999999999</v>
    <v>13.95</v>
    <v>14.2</v>
    <v>14.28</v>
    <v>5132458000</v>
    <v>VALE</v>
    <v>Vale SA (XNYS:VALE)</v>
    <v>25893097</v>
    <v>34245817</v>
    <v>1943</v>
  </rv>
  <rv s="2">
    <v>280</v>
  </rv>
  <rv s="27">
    <v>en-US</v>
    <v>a1ptbh</v>
    <v>268435456</v>
    <v>1</v>
    <v>Powered by Refinitiv</v>
    <v>72</v>
    <v>CLEVELAND-CLIFFS INC. (XNYS:CLF)</v>
    <v>59</v>
    <v>73</v>
    <v>Finance</v>
    <v>71</v>
    <v>26.507999999999999</v>
    <v>7.13</v>
    <v>2.2193000000000001</v>
    <v>-0.15</v>
    <v>4.5779999999999996E-3</v>
    <v>-7.5719999999999997E-3</v>
    <v>0.09</v>
    <v>USD</v>
    <v>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v>
    <v>25000</v>
    <v>New York Stock Exchange</v>
    <v>XNYS</v>
    <v>XNYS</v>
    <v>200 Public Sq Ste 3300, CLEVELAND, OH, 44114-2315 US</v>
    <v>20.2</v>
    <v>Metals &amp; Mining</v>
    <v>Stock</v>
    <v>44470.999935624997</v>
    <v>229</v>
    <v>19.1357</v>
    <v>9824788000</v>
    <v>CLEVELAND-CLIFFS INC.</v>
    <v>CLEVELAND-CLIFFS INC.</v>
    <v>19.899999999999999</v>
    <v>12.971500000000001</v>
    <v>19.809999999999999</v>
    <v>19.66</v>
    <v>19.75</v>
    <v>499734900</v>
    <v>CLF</v>
    <v>CLEVELAND-CLIFFS INC. (XNYS:CLF)</v>
    <v>29687534</v>
    <v>21421260</v>
    <v>1985</v>
  </rv>
  <rv s="2">
    <v>282</v>
  </rv>
  <rv s="0">
    <v>https://www.bing.com/financeapi/forcetrigger?t=a1nt4c&amp;q=ARCX%3aASHR&amp;form=skydnc</v>
    <v>Learn more on Bing</v>
  </rv>
  <rv s="28">
    <v>en-US</v>
    <v>a1nt4c</v>
    <v>268435456</v>
    <v>1</v>
    <v>Powered by Refinitiv</v>
    <v>74</v>
    <v>Xtrackers Hvst CSI300 CA (ARCX:ASHR)</v>
    <v>67</v>
    <v>75</v>
    <v>Finance</v>
    <v>76</v>
    <v>46.42</v>
    <v>34.79</v>
    <v>0.99780000000000002</v>
    <v>-0.35</v>
    <v>-3.1780000000000003E-3</v>
    <v>-9.1839999999999995E-3</v>
    <v>-0.12</v>
    <v>USD</v>
    <v>NYSE Arca</v>
    <v>ARCX</v>
    <v>6.5000000000000006E-3</v>
    <v>37.880000000000003</v>
    <v>ETF</v>
    <v>44471.000000566404</v>
    <v>284</v>
    <v>37.47</v>
    <v>2148026673.9000001</v>
    <v>Xtrackers Hvst CSI300 CA</v>
    <v>37.81</v>
    <v>38.11</v>
    <v>37.76</v>
    <v>37.64</v>
    <v>ASHR</v>
    <v>Xtrackers Hvst CSI300 CA (ARCX:ASHR)</v>
    <v>2088416</v>
    <v>3771335</v>
  </rv>
  <rv s="2">
    <v>285</v>
  </rv>
  <rv s="0">
    <v>http://en.wikipedia.org/wiki/Bed_Bath_&amp;_Beyond</v>
    <v>Wikipedia</v>
  </rv>
  <rv s="3">
    <v>10</v>
    <v>287</v>
  </rv>
  <rv s="4">
    <v>10</v>
    <v>https://www.bing.com/th?id=AMMS_8304a3c8d89b5586758becbe44db5144&amp;qlt=95</v>
    <v>288</v>
    <v>0</v>
    <v>https://www.bing.com/images/search?form=xlimg&amp;q=bed+bath+%26+beyond</v>
    <v>Image of BED BATH &amp; BEYOND INC.</v>
  </rv>
  <rv s="0">
    <v>https://www.bing.com/financeapi/forcetrigger?t=a1o7c7&amp;q=XNAS%3aBBBY&amp;form=skydnc</v>
    <v>Learn more on Bing</v>
  </rv>
  <rv s="26">
    <v>en-US</v>
    <v>a1o7c7</v>
    <v>268435456</v>
    <v>1</v>
    <v>Powered by Refinitiv</v>
    <v>69</v>
    <v>BED BATH &amp; BEYOND INC. (XNAS:BBBY)</v>
    <v>61</v>
    <v>70</v>
    <v>Finance</v>
    <v>71</v>
    <v>53.9</v>
    <v>15.7</v>
    <v>1.9895</v>
    <v>-0.69499999999999995</v>
    <v>0</v>
    <v>-4.0232000000000004E-2</v>
    <v>0</v>
    <v>USD</v>
    <v>Bed Bath &amp; Beyond Inc. is an omnichannel retailer. The Company sells an assortment of domestic merchandise and home furnishings, which operates under the names, such as Bed Bath &amp; Beyond (BBB); Harmon, Harmon Face Values (Harmon); buybuy BABY (Baby) and World Market. The Company also operates Decorist, an online interior design platform that provides personalized home design services. Its domestics merchandise includes categories, such as bath items and kitchen textiles. Its home furnishings include categories, such as kitchen and tabletop items, fine tabletop, basic housewares, general home furnishings, consumables and certain juvenile products. The Company operates an established retail store base, which consists of approximately 1,500 stores.</v>
    <v>55000</v>
    <v>Nasdaq Stock Market</v>
    <v>XNAS</v>
    <v>XNAS</v>
    <v>650 Liberty Ave, UNION, NJ, 07083-8107 US</v>
    <v>17.489999999999998</v>
    <v>289</v>
    <v>Specialty Retailers</v>
    <v>Stock</v>
    <v>44470.999801527345</v>
    <v>290</v>
    <v>16.5</v>
    <v>1732834000</v>
    <v>BED BATH &amp; BEYOND INC.</v>
    <v>BED BATH &amp; BEYOND INC.</v>
    <v>17.37</v>
    <v>36.139899999999997</v>
    <v>17.274999999999999</v>
    <v>16.579999999999998</v>
    <v>16.579999999999998</v>
    <v>104513500</v>
    <v>BBBY</v>
    <v>BED BATH &amp; BEYOND INC. (XNAS:BBBY)</v>
    <v>13159360</v>
    <v>4933863</v>
    <v>1971</v>
  </rv>
  <rv s="2">
    <v>291</v>
  </rv>
</rvData>
</file>

<file path=xl/richData/rdrichvaluestructure.xml><?xml version="1.0" encoding="utf-8"?>
<rvStructures xmlns="http://schemas.microsoft.com/office/spreadsheetml/2017/richdata" count="29">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ountry/region" t="s"/>
    <k n="High"/>
    <k n="Instrument type" t="s"/>
    <k n="LearnMoreOnLink" t="r"/>
    <k n="Low"/>
    <k n="Name" t="s"/>
    <k n="Open"/>
    <k n="Previous close"/>
    <k n="Price"/>
    <k n="Ticker symbol" t="s"/>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imageurl">
    <k n="Address" t="s"/>
    <k n="Attribution" t="r"/>
    <k n="More Images 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ountry/region" t="s"/>
    <k n="High"/>
    <k n="Instrument type" t="s"/>
    <k n="LearnMoreOnLink" t="r"/>
    <k n="Low"/>
    <k n="Name" t="s"/>
    <k n="Open"/>
    <k n="Previous close"/>
    <k n="Price"/>
    <k n="Ticker symbol" t="s"/>
    <k n="UniqueName"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Ticker symbol" t="s"/>
    <k n="UniqueName" t="s"/>
    <k n="Volume"/>
    <k n="Volume average"/>
  </s>
  <s t="_imageurl">
    <k n="_Provider" t="spb"/>
    <k n="Address" t="s"/>
    <k n="Attribution" t="r"/>
    <k n="More Images 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26">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a count="43">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v t="s">_Display</v>
    </a>
    <a count="27">
      <v t="s">%EntityServiceId</v>
      <v t="s">_Format</v>
      <v t="s">%EntitySubDomainId</v>
      <v t="s">%EntityCulture</v>
      <v t="s">%IsRefreshable</v>
      <v t="s">%EntityId</v>
      <v t="s">_Icon</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v t="s">_Display</v>
    </a>
    <a count="35">
      <v t="s">%EntityServiceId</v>
      <v t="s">_Format</v>
      <v t="s">%EntitySubDomainId</v>
      <v t="s">%EntityCulture</v>
      <v t="s">%IsRefreshable</v>
      <v t="s">%EntityId</v>
      <v t="s">_Icon</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v t="s">_Display</v>
    </a>
    <a count="41">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Description</v>
      <v t="s">Employees</v>
      <v t="s">Headquarters</v>
      <v t="s">Industry</v>
      <v t="s">Instrument type</v>
      <v t="s">Year incorporated</v>
      <v t="s">_Flags</v>
      <v t="s">UniqueName</v>
      <v t="s">_DisplayString</v>
      <v t="s">LearnMoreOnLink</v>
      <v t="s">ExchangeID</v>
      <v t="s">%ProviderInfo</v>
      <v t="s">_Display</v>
    </a>
    <a count="47">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a count="43">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_Display</v>
    </a>
    <a count="39">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Description</v>
      <v t="s">Headquarters</v>
      <v t="s">Industry</v>
      <v t="s">Instrument type</v>
      <v t="s">_Flags</v>
      <v t="s">UniqueName</v>
      <v t="s">_DisplayString</v>
      <v t="s">LearnMoreOnLink</v>
      <v t="s">ExchangeID</v>
      <v t="s">%ProviderInfo</v>
      <v t="s">_Display</v>
    </a>
    <a count="44">
      <v t="s">%EntityServiceId</v>
      <v t="s">_Format</v>
      <v t="s">%EntitySubDomainId</v>
      <v t="s">%IsRefreshable</v>
      <v t="s">%EntityCulture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a count="27">
      <v t="s">%EntityServiceId</v>
      <v t="s">_Format</v>
      <v t="s">%EntitySubDomainId</v>
      <v t="s">%IsRefreshable</v>
      <v t="s">%EntityCulture</v>
      <v t="s">%EntityId</v>
      <v t="s">_Icon</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v t="s">_Display</v>
    </a>
    <a count="43">
      <v t="s">%EntityServiceId</v>
      <v t="s">_Format</v>
      <v t="s">%EntitySubDomainId</v>
      <v t="s">%IsRefreshable</v>
      <v t="s">%EntityCulture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v t="s">_Display</v>
    </a>
    <a count="42">
      <v t="s">%EntityServiceId</v>
      <v t="s">_Format</v>
      <v t="s">%EntitySubDomainId</v>
      <v t="s">%IsRefreshable</v>
      <v t="s">%EntityCulture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v t="s">_Display</v>
    </a>
    <a count="43">
      <v t="s">%EntityServiceId</v>
      <v t="s">_Format</v>
      <v t="s">%EntitySubDomainId</v>
      <v t="s">%IsRefreshable</v>
      <v t="s">%EntityCulture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Description</v>
      <v t="s">Employees</v>
      <v t="s">Headquarters</v>
      <v t="s">Industry</v>
      <v t="s">Instrument type</v>
      <v t="s">_Flags</v>
      <v t="s">UniqueName</v>
      <v t="s">_DisplayString</v>
      <v t="s">LearnMoreOnLink</v>
      <v t="s">ExchangeID</v>
      <v t="s">%ProviderInfo</v>
      <v t="s">_Display</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Image</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77">
    <spb s="0">
      <v>0</v>
      <v>Name</v>
      <v>LearnMoreOnLink</v>
    </spb>
    <spb s="1">
      <v>0</v>
      <v>0</v>
      <v>0</v>
    </spb>
    <spb s="2">
      <v>1</v>
      <v>1</v>
      <v>1</v>
    </spb>
    <spb s="3">
      <v>1</v>
      <v>2</v>
      <v>1</v>
      <v>3</v>
      <v>1</v>
      <v>1</v>
      <v>1</v>
      <v>4</v>
      <v>5</v>
      <v>6</v>
      <v>1</v>
      <v>1</v>
      <v>5</v>
      <v>1</v>
      <v>4</v>
      <v>7</v>
      <v>8</v>
      <v>9</v>
    </spb>
    <spb s="4">
      <v>Delayed 15 minutes</v>
      <v>from previous close</v>
      <v>Source: Nasdaq</v>
      <v>from previous close</v>
      <v>GMT</v>
    </spb>
    <spb s="0">
      <v>1</v>
      <v>Name</v>
      <v>LearnMoreOnLink</v>
    </spb>
    <spb s="5">
      <v>0</v>
      <v>0</v>
    </spb>
    <spb s="6">
      <v>6</v>
      <v>1</v>
      <v>1</v>
      <v>1</v>
      <v>1</v>
    </spb>
    <spb s="7">
      <v>1</v>
      <v>2</v>
      <v>2</v>
      <v>1</v>
      <v>3</v>
      <v>1</v>
      <v>10</v>
      <v>1</v>
      <v>1</v>
      <v>4</v>
      <v>4</v>
      <v>5</v>
      <v>6</v>
      <v>1</v>
      <v>1</v>
      <v>1</v>
      <v>4</v>
      <v>7</v>
      <v>8</v>
      <v>11</v>
      <v>9</v>
      <v>4</v>
    </spb>
    <spb s="8">
      <v>Real-Time Nasdaq Last Sale</v>
      <v>from previous close</v>
      <v>from previous close</v>
      <v>Source: Nasdaq Last Sale</v>
      <v>GMT</v>
    </spb>
    <spb s="9">
      <v>Powered by Refinitiv</v>
    </spb>
    <spb s="8">
      <v>Delayed 15 minutes</v>
      <v>from previous close</v>
      <v>from previous close</v>
      <v>Source: Nasdaq</v>
      <v>GMT</v>
    </spb>
    <spb s="4">
      <v>Real-Time Nasdaq Last Sale</v>
      <v>from previous close</v>
      <v>Source: Nasdaq Last Sale</v>
      <v>from previous close</v>
      <v>GMT</v>
    </spb>
    <spb s="0">
      <v>2</v>
      <v>Name</v>
      <v>LearnMoreOnLink</v>
    </spb>
    <spb s="10">
      <v>1</v>
      <v>1</v>
      <v>1</v>
      <v>1</v>
    </spb>
    <spb s="11">
      <v>1</v>
      <v>2</v>
      <v>1</v>
      <v>3</v>
      <v>1</v>
      <v>1</v>
      <v>1</v>
      <v>4</v>
      <v>4</v>
      <v>5</v>
      <v>6</v>
      <v>1</v>
      <v>1</v>
      <v>1</v>
      <v>4</v>
      <v>7</v>
      <v>8</v>
      <v>11</v>
      <v>9</v>
      <v>4</v>
    </spb>
    <spb s="0">
      <v>3</v>
      <v>Name</v>
      <v>LearnMoreOnLink</v>
    </spb>
    <spb s="12">
      <v>1</v>
      <v>1</v>
      <v>3</v>
      <v>1</v>
      <v>1</v>
      <v>1</v>
      <v>5</v>
      <v>1</v>
      <v>1</v>
      <v>1</v>
      <v>8</v>
      <v>9</v>
    </spb>
    <spb s="13">
      <v>from previous close</v>
      <v>from previous close</v>
    </spb>
    <spb s="0">
      <v>4</v>
      <v>Name</v>
      <v>LearnMoreOnLink</v>
    </spb>
    <spb s="14">
      <v>1</v>
      <v>2</v>
      <v>2</v>
      <v>1</v>
      <v>3</v>
      <v>1</v>
      <v>1</v>
      <v>1</v>
      <v>4</v>
      <v>4</v>
      <v>5</v>
      <v>6</v>
      <v>1</v>
      <v>1</v>
      <v>1</v>
      <v>4</v>
      <v>7</v>
      <v>8</v>
      <v>11</v>
      <v>9</v>
      <v>4</v>
    </spb>
    <spb s="15">
      <v>5</v>
    </spb>
    <spb s="16">
      <v>6</v>
      <v>1</v>
      <v>1</v>
      <v>1</v>
    </spb>
    <spb s="17">
      <v>1</v>
      <v>2</v>
      <v>2</v>
      <v>1</v>
      <v>3</v>
      <v>1</v>
      <v>10</v>
      <v>1</v>
      <v>1</v>
      <v>4</v>
      <v>4</v>
      <v>5</v>
      <v>6</v>
      <v>1</v>
      <v>1</v>
      <v>1</v>
      <v>4</v>
      <v>8</v>
      <v>7</v>
      <v>9</v>
      <v>11</v>
      <v>9</v>
      <v>4</v>
    </spb>
    <spb s="15">
      <v>6</v>
    </spb>
    <spb s="18">
      <v>1</v>
      <v>2</v>
      <v>1</v>
      <v>3</v>
      <v>1</v>
      <v>10</v>
      <v>1</v>
      <v>1</v>
      <v>4</v>
      <v>4</v>
      <v>5</v>
      <v>6</v>
      <v>1</v>
      <v>1</v>
      <v>1</v>
      <v>4</v>
      <v>8</v>
      <v>7</v>
      <v>9</v>
      <v>11</v>
      <v>9</v>
      <v>4</v>
    </spb>
    <spb s="17">
      <v>1</v>
      <v>2</v>
      <v>2</v>
      <v>1</v>
      <v>3</v>
      <v>1</v>
      <v>10</v>
      <v>1</v>
      <v>1</v>
      <v>4</v>
      <v>4</v>
      <v>5</v>
      <v>12</v>
      <v>1</v>
      <v>1</v>
      <v>1</v>
      <v>4</v>
      <v>8</v>
      <v>7</v>
      <v>9</v>
      <v>11</v>
      <v>9</v>
      <v>4</v>
    </spb>
    <spb s="15">
      <v>7</v>
    </spb>
    <spb s="19">
      <v>1</v>
      <v>1</v>
    </spb>
    <spb s="20">
      <v>1</v>
      <v>1</v>
      <v>3</v>
      <v>1</v>
      <v>1</v>
      <v>1</v>
      <v>5</v>
      <v>1</v>
      <v>1</v>
      <v>1</v>
      <v>8</v>
      <v>9</v>
      <v>9</v>
    </spb>
    <spb s="15">
      <v>8</v>
    </spb>
    <spb s="21">
      <v>1</v>
      <v>2</v>
      <v>1</v>
      <v>3</v>
      <v>1</v>
      <v>1</v>
      <v>1</v>
      <v>4</v>
      <v>5</v>
      <v>6</v>
      <v>1</v>
      <v>1</v>
      <v>5</v>
      <v>1</v>
      <v>4</v>
      <v>8</v>
      <v>7</v>
      <v>9</v>
      <v>9</v>
    </spb>
    <spb s="15">
      <v>9</v>
    </spb>
    <spb s="22">
      <v>1</v>
      <v>1</v>
      <v>1</v>
    </spb>
    <spb s="23">
      <v>1</v>
      <v>2</v>
      <v>1</v>
      <v>3</v>
      <v>1</v>
      <v>1</v>
      <v>1</v>
      <v>4</v>
      <v>4</v>
      <v>5</v>
      <v>6</v>
      <v>1</v>
      <v>1</v>
      <v>1</v>
      <v>4</v>
      <v>8</v>
      <v>7</v>
      <v>9</v>
      <v>11</v>
      <v>9</v>
    </spb>
    <spb s="15">
      <v>10</v>
    </spb>
    <spb s="24">
      <v>1</v>
      <v>2</v>
      <v>2</v>
      <v>1</v>
      <v>3</v>
      <v>1</v>
      <v>10</v>
      <v>1</v>
      <v>1</v>
      <v>4</v>
      <v>4</v>
      <v>5</v>
      <v>6</v>
      <v>1</v>
      <v>1</v>
      <v>1</v>
      <v>4</v>
      <v>8</v>
      <v>7</v>
      <v>9</v>
      <v>11</v>
      <v>9</v>
      <v>4</v>
      <v>1</v>
      <v>1</v>
      <v>5</v>
    </spb>
    <spb s="25">
      <v>at close</v>
      <v>from previous close</v>
      <v>from previous close</v>
      <v>Source: Nasdaq Last Sale</v>
      <v>GMT</v>
      <v>Real-Time Nasdaq Last Sale</v>
      <v>from close</v>
      <v>from close</v>
    </spb>
    <spb s="15">
      <v>11</v>
    </spb>
    <spb s="26">
      <v>1</v>
      <v>2</v>
      <v>2</v>
      <v>1</v>
      <v>3</v>
      <v>1</v>
      <v>1</v>
      <v>1</v>
      <v>4</v>
      <v>4</v>
      <v>5</v>
      <v>6</v>
      <v>1</v>
      <v>1</v>
      <v>1</v>
      <v>4</v>
      <v>8</v>
      <v>7</v>
      <v>9</v>
      <v>11</v>
      <v>9</v>
      <v>4</v>
    </spb>
    <spb s="15">
      <v>12</v>
    </spb>
    <spb s="27">
      <v>1</v>
      <v>2</v>
      <v>1</v>
      <v>3</v>
      <v>1</v>
      <v>1</v>
      <v>1</v>
      <v>4</v>
      <v>5</v>
      <v>6</v>
      <v>1</v>
      <v>1</v>
      <v>1</v>
      <v>4</v>
      <v>8</v>
      <v>7</v>
      <v>9</v>
      <v>9</v>
    </spb>
    <spb s="24">
      <v>1</v>
      <v>2</v>
      <v>2</v>
      <v>1</v>
      <v>3</v>
      <v>1</v>
      <v>10</v>
      <v>1</v>
      <v>1</v>
      <v>4</v>
      <v>4</v>
      <v>5</v>
      <v>12</v>
      <v>1</v>
      <v>1</v>
      <v>1</v>
      <v>4</v>
      <v>8</v>
      <v>7</v>
      <v>9</v>
      <v>11</v>
      <v>9</v>
      <v>4</v>
      <v>1</v>
      <v>1</v>
      <v>5</v>
    </spb>
    <spb s="15">
      <v>13</v>
    </spb>
    <spb s="17">
      <v>1</v>
      <v>2</v>
      <v>2</v>
      <v>1</v>
      <v>3</v>
      <v>1</v>
      <v>10</v>
      <v>1</v>
      <v>1</v>
      <v>4</v>
      <v>4</v>
      <v>5</v>
      <v>13</v>
      <v>1</v>
      <v>1</v>
      <v>1</v>
      <v>4</v>
      <v>8</v>
      <v>7</v>
      <v>9</v>
      <v>11</v>
      <v>9</v>
      <v>4</v>
    </spb>
    <spb s="15">
      <v>14</v>
    </spb>
    <spb s="15">
      <v>15</v>
    </spb>
    <spb s="15">
      <v>16</v>
    </spb>
    <spb s="28">
      <v>1</v>
      <v>2</v>
      <v>1</v>
      <v>3</v>
      <v>1</v>
      <v>1</v>
      <v>1</v>
      <v>4</v>
      <v>4</v>
      <v>5</v>
      <v>6</v>
      <v>1</v>
      <v>1</v>
      <v>1</v>
      <v>4</v>
      <v>8</v>
      <v>7</v>
      <v>9</v>
      <v>11</v>
      <v>9</v>
      <v>4</v>
    </spb>
    <spb s="15">
      <v>17</v>
    </spb>
    <spb s="29">
      <v>1</v>
      <v>2</v>
      <v>1</v>
      <v>3</v>
      <v>1</v>
      <v>1</v>
      <v>1</v>
      <v>4</v>
      <v>4</v>
      <v>5</v>
      <v>6</v>
      <v>1</v>
      <v>1</v>
      <v>1</v>
      <v>4</v>
      <v>8</v>
      <v>7</v>
      <v>9</v>
      <v>9</v>
      <v>1</v>
      <v>1</v>
      <v>5</v>
    </spb>
    <spb s="0">
      <v>18</v>
      <v>Name</v>
      <v>LearnMoreOnLink</v>
    </spb>
    <spb s="30">
      <v>1</v>
      <v>2</v>
      <v>1</v>
      <v>3</v>
      <v>1</v>
      <v>1</v>
      <v>1</v>
      <v>4</v>
      <v>4</v>
      <v>5</v>
      <v>6</v>
      <v>1</v>
      <v>1</v>
      <v>1</v>
      <v>4</v>
      <v>7</v>
      <v>8</v>
      <v>9</v>
      <v>4</v>
    </spb>
    <spb s="0">
      <v>19</v>
      <v>Name</v>
      <v>LearnMoreOnLink</v>
    </spb>
    <spb s="31">
      <v>1</v>
      <v>1</v>
      <v>3</v>
      <v>1</v>
      <v>1</v>
      <v>1</v>
      <v>4</v>
      <v>4</v>
      <v>5</v>
      <v>6</v>
      <v>1</v>
      <v>1</v>
      <v>1</v>
      <v>4</v>
      <v>7</v>
      <v>8</v>
      <v>11</v>
      <v>9</v>
      <v>4</v>
    </spb>
    <spb s="0">
      <v>20</v>
      <v>Name</v>
      <v>LearnMoreOnLink</v>
    </spb>
    <spb s="32">
      <v>1</v>
      <v>2</v>
      <v>1</v>
      <v>3</v>
      <v>1</v>
      <v>1</v>
      <v>1</v>
      <v>4</v>
      <v>4</v>
      <v>5</v>
      <v>14</v>
      <v>1</v>
      <v>1</v>
      <v>1</v>
      <v>4</v>
      <v>7</v>
      <v>8</v>
      <v>11</v>
      <v>9</v>
      <v>4</v>
    </spb>
    <spb s="0">
      <v>21</v>
      <v>Name</v>
      <v>LearnMoreOnLink</v>
    </spb>
    <spb s="33">
      <v>1</v>
      <v>1</v>
      <v>3</v>
      <v>1</v>
      <v>1</v>
      <v>1</v>
      <v>4</v>
      <v>4</v>
      <v>5</v>
      <v>6</v>
      <v>1</v>
      <v>1</v>
      <v>1</v>
      <v>4</v>
      <v>7</v>
      <v>8</v>
      <v>11</v>
      <v>9</v>
    </spb>
    <spb s="34">
      <v>1</v>
      <v>1</v>
      <v>1</v>
      <v>1</v>
    </spb>
    <spb s="35">
      <v>1</v>
      <v>2</v>
      <v>2</v>
      <v>1</v>
      <v>3</v>
      <v>1</v>
      <v>1</v>
      <v>1</v>
      <v>4</v>
      <v>4</v>
      <v>5</v>
      <v>6</v>
      <v>1</v>
      <v>1</v>
      <v>1</v>
      <v>4</v>
      <v>7</v>
      <v>11</v>
      <v>9</v>
      <v>4</v>
    </spb>
    <spb s="36">
      <v>6</v>
      <v>1</v>
      <v>1</v>
      <v>1</v>
      <v>1</v>
    </spb>
    <spb s="37">
      <v>1</v>
      <v>2</v>
      <v>2</v>
      <v>1</v>
      <v>3</v>
      <v>1</v>
      <v>10</v>
      <v>1</v>
      <v>1</v>
      <v>4</v>
      <v>4</v>
      <v>5</v>
      <v>6</v>
      <v>1</v>
      <v>1</v>
      <v>1</v>
      <v>4</v>
      <v>7</v>
      <v>11</v>
      <v>9</v>
      <v>4</v>
    </spb>
    <spb s="38">
      <v>1</v>
      <v>2</v>
      <v>1</v>
      <v>3</v>
      <v>1</v>
      <v>1</v>
      <v>1</v>
      <v>4</v>
      <v>4</v>
      <v>5</v>
      <v>6</v>
      <v>1</v>
      <v>1</v>
      <v>1</v>
      <v>4</v>
      <v>7</v>
      <v>9</v>
      <v>4</v>
    </spb>
    <spb s="39">
      <v>1</v>
      <v>2</v>
      <v>1</v>
      <v>3</v>
      <v>1</v>
      <v>1</v>
      <v>1</v>
      <v>4</v>
      <v>4</v>
      <v>5</v>
      <v>6</v>
      <v>1</v>
      <v>1</v>
      <v>1</v>
      <v>4</v>
      <v>7</v>
      <v>11</v>
      <v>9</v>
      <v>4</v>
    </spb>
    <spb s="0">
      <v>22</v>
      <v>Name</v>
      <v>LearnMoreOnLink</v>
    </spb>
    <spb s="40">
      <v>1</v>
      <v>2</v>
      <v>1</v>
      <v>3</v>
      <v>1</v>
      <v>10</v>
      <v>1</v>
      <v>1</v>
      <v>4</v>
      <v>4</v>
      <v>5</v>
      <v>6</v>
      <v>1</v>
      <v>1</v>
      <v>1</v>
      <v>4</v>
      <v>7</v>
      <v>11</v>
      <v>9</v>
      <v>4</v>
    </spb>
    <spb s="41">
      <v>1</v>
      <v>1</v>
      <v>1</v>
    </spb>
    <spb s="42">
      <v>1</v>
      <v>2</v>
      <v>1</v>
      <v>3</v>
      <v>1</v>
      <v>1</v>
      <v>1</v>
      <v>4</v>
      <v>5</v>
      <v>6</v>
      <v>1</v>
      <v>1</v>
      <v>5</v>
      <v>1</v>
      <v>4</v>
      <v>7</v>
      <v>9</v>
    </spb>
    <spb s="0">
      <v>23</v>
      <v>Name</v>
      <v>LearnMoreOnLink</v>
    </spb>
    <spb s="43">
      <v>1</v>
      <v>2</v>
      <v>2</v>
      <v>1</v>
      <v>3</v>
      <v>1</v>
      <v>10</v>
      <v>1</v>
      <v>1</v>
      <v>4</v>
      <v>4</v>
      <v>5</v>
      <v>6</v>
      <v>1</v>
      <v>1</v>
      <v>1</v>
      <v>4</v>
      <v>7</v>
      <v>11</v>
      <v>9</v>
      <v>4</v>
      <v>1</v>
      <v>1</v>
      <v>5</v>
    </spb>
    <spb s="25">
      <v>at close</v>
      <v>from previous close</v>
      <v>from previous close</v>
      <v>Source: Nasdaq</v>
      <v>GMT</v>
      <v>Delayed 15 minutes</v>
      <v>from close</v>
      <v>from close</v>
    </spb>
    <spb s="0">
      <v>24</v>
      <v>Name</v>
      <v>LearnMoreOnLink</v>
    </spb>
    <spb s="44">
      <v>1</v>
      <v>2</v>
      <v>2</v>
      <v>1</v>
      <v>3</v>
      <v>1</v>
      <v>1</v>
      <v>1</v>
      <v>4</v>
      <v>4</v>
      <v>5</v>
      <v>6</v>
      <v>1</v>
      <v>1</v>
      <v>1</v>
      <v>4</v>
      <v>7</v>
      <v>11</v>
      <v>9</v>
      <v>4</v>
      <v>1</v>
      <v>1</v>
      <v>5</v>
    </spb>
    <spb s="0">
      <v>25</v>
      <v>Name</v>
      <v>LearnMoreOnLink</v>
    </spb>
    <spb s="45">
      <v>1</v>
      <v>2</v>
      <v>1</v>
      <v>3</v>
      <v>1</v>
      <v>1</v>
      <v>1</v>
      <v>4</v>
      <v>5</v>
      <v>6</v>
      <v>1</v>
      <v>1</v>
      <v>5</v>
      <v>1</v>
      <v>4</v>
      <v>7</v>
      <v>9</v>
      <v>1</v>
      <v>1</v>
      <v>5</v>
    </spb>
    <spb s="46">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47">
  <s>
    <k n="^Order" t="spba"/>
    <k n="TitleProperty" t="s"/>
    <k n="SubTitleProperty" t="s"/>
  </s>
  <s>
    <k n="ShowInCardView" t="b"/>
    <k n="ShowInDotNotation" t="b"/>
    <k n="ShowInAutoComplete" t="b"/>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_DisplayString" t="i"/>
    <k n="`%EntityServiceId" t="i"/>
  </s>
  <s>
    <k n="Price" t="s"/>
    <k n="Change" t="s"/>
    <k n="Ex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Price" t="s"/>
    <k n="Change" t="s"/>
    <k n="Change (%)" t="s"/>
    <k n="ExchangeID" t="s"/>
    <k n="Last trade time" t="s"/>
  </s>
  <s>
    <k n="name" t="s"/>
  </s>
  <s>
    <k n="ExchangeID" t="spb"/>
    <k n="UniqueName" t="spb"/>
    <k n="%ProviderInfo" t="spb"/>
    <k n="LearnMoreOnLink" t="spb"/>
  </s>
  <s>
    <k n="Low" t="i"/>
    <k n="P/E"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High" t="i"/>
    <k n="Name" t="i"/>
    <k n="Open" t="i"/>
    <k n="Price" t="i"/>
    <k n="Change" t="i"/>
    <k n="Change (%)" t="i"/>
    <k n="52 week low" t="i"/>
    <k n="52 week high" t="i"/>
    <k n="Previous close" t="i"/>
    <k n="`_DisplayString" t="i"/>
    <k n="`%EntityServiceId" t="i"/>
  </s>
  <s>
    <k n="Change" t="s"/>
    <k n="Change (%)" t="s"/>
  </s>
  <s>
    <k n="Low" t="i"/>
    <k n="P/E"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Order" t="spba"/>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s>
  <s>
    <k n="Low"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s>
  <s>
    <k n="UniqueName" t="spb"/>
    <k n="%ProviderInfo" t="spb"/>
  </s>
  <s>
    <k n="Low" t="i"/>
    <k n="High" t="i"/>
    <k n="Name" t="i"/>
    <k n="Open" t="i"/>
    <k n="Price" t="i"/>
    <k n="Change" t="i"/>
    <k n="Change (%)" t="i"/>
    <k n="52 week low" t="i"/>
    <k n="52 week high" t="i"/>
    <k n="Previous close" t="i"/>
    <k n="_DisplayString" t="i"/>
    <k n="%EntityServiceId" t="i"/>
    <k n="%EntitySubDomainId" t="i"/>
  </s>
  <s>
    <k n="Low" t="i"/>
    <k n="Beta" t="i"/>
    <k n="High" t="i"/>
    <k n="Name" t="i"/>
    <k n="Open" t="i"/>
    <k n="Price" t="i"/>
    <k n="Change" t="i"/>
    <k n="Volume" t="i"/>
    <k n="Change (%)" t="i"/>
    <k n="Market cap" t="i"/>
    <k n="52 week low" t="i"/>
    <k n="52 week high" t="i"/>
    <k n="Expense ratio" t="i"/>
    <k n="Previous close" t="i"/>
    <k n="Volume average" t="i"/>
    <k n="_DisplayString" t="i"/>
    <k n="Last trade time" t="i"/>
    <k n="%EntityServiceId" t="i"/>
    <k n="%EntitySubDomainId" t="i"/>
  </s>
  <s>
    <k n="ExchangeID" t="spb"/>
    <k n="UniqueName" t="spb"/>
    <k n="%ProviderInfo" t="spb"/>
  </s>
  <s>
    <k n="Low" t="i"/>
    <k n="P/E" t="i"/>
    <k n="High" t="i"/>
    <k n="Name" t="i"/>
    <k n="Open"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s>
  <s>
    <k n="Low" t="i"/>
    <k n="P/E"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s>
  <s>
    <k n="Low" t="i"/>
    <k n="P/E" t="i"/>
    <k n="High" t="i"/>
    <k n="Name" t="i"/>
    <k n="Open" t="i"/>
    <k n="Price" t="i"/>
    <k n="Change" t="i"/>
    <k n="Volume" t="i"/>
    <k n="Change (%)" t="i"/>
    <k n="Market cap" t="i"/>
    <k n="52 week low" t="i"/>
    <k n="52 week high" t="i"/>
    <k n="Previous close" t="i"/>
    <k n="Volume average" t="i"/>
    <k n="_DisplayString" t="i"/>
    <k n="Last trade time" t="i"/>
    <k n="%EntityServiceId" t="i"/>
    <k n="%EntitySubDomainId" t="i"/>
  </s>
  <s>
    <k n="Low" t="i"/>
    <k n="Beta" t="i"/>
    <k n="High" t="i"/>
    <k n="Name" t="i"/>
    <k n="Open"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s>
  <s>
    <k n="Low" t="i"/>
    <k n="P/E" t="i"/>
    <k n="High" t="i"/>
    <k n="Name" t="i"/>
    <k n="Open" t="i"/>
    <k n="Price" t="i"/>
    <k n="Change" t="i"/>
    <k n="Volume" t="i"/>
    <k n="Employees" t="i"/>
    <k n="Change (%)" t="i"/>
    <k n="Market cap" t="i"/>
    <k n="52 week low" t="i"/>
    <k n="52 week high" t="i"/>
    <k n="Previous close" t="i"/>
    <k n="Volume average" t="i"/>
    <k n="_DisplayString" t="i"/>
    <k n="Last trade time" t="i"/>
    <k n="%EntityServiceId" t="i"/>
    <k n="%EntitySubDomainId"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_DisplayString" t="i"/>
    <k n="`%EntityServiceId" t="i"/>
    <k n="Shares outstanding" t="i"/>
  </s>
  <s>
    <k n="Low"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1">
    <x:dxf>
      <x:numFmt numFmtId="168" formatCode="_([$$-409]* #,##0.00_);_([$$-409]* \(#,##0.00\);_([$$-409]* &quot;-&quot;??_);_(@_)"/>
    </x:dxf>
    <x:dxf>
      <x:numFmt numFmtId="4" formatCode="#,##0.00"/>
    </x:dxf>
    <x:dxf>
      <x:numFmt numFmtId="3" formatCode="#,##0"/>
    </x:dxf>
    <x:dxf>
      <x:numFmt numFmtId="14" formatCode="0.00%"/>
    </x:dxf>
    <x:dxf>
      <x:numFmt numFmtId="167" formatCode="_([$$-409]* #,##0_);_([$$-409]* \(#,##0\);_([$$-409]* &quot;-&quot;_);_(@_)"/>
    </x:dxf>
    <x:dxf>
      <x:numFmt numFmtId="27" formatCode="m/d/yyyy\ h:mm"/>
    </x:dxf>
    <x:dxf>
      <x:numFmt numFmtId="2" formatCode="0.00"/>
    </x:dxf>
    <x:dxf>
      <x:numFmt numFmtId="1" formatCode="0"/>
    </x:dxf>
    <x:dxf>
      <x:numFmt numFmtId="166" formatCode="_ [$¥-804]* #,##0_ ;_ [$¥-804]* \-#,##0_ ;_ [$¥-804]* &quot;-&quot;_ ;_ @_ "/>
    </x:dxf>
    <x:dxf>
      <x:numFmt numFmtId="165" formatCode="_-[$R$-416]\ * #,##0_-;\-[$R$-416]\ * #,##0_-;_-[$R$-416]\ * &quot;-&quot;_-;_-@_-"/>
    </x:dxf>
    <x:dxf>
      <x:numFmt numFmtId="164" formatCode="_-[$£-809]* #,##0_-;\-[$£-809]* #,##0_-;_-[$£-809]* &quot;-&quot;_-;_-@_-"/>
    </x:dxf>
  </dxfs>
  <richProperties>
    <rPr n="IsTitleField" t="b"/>
    <rPr n="ShouldShowInCell" t="b"/>
    <rPr n="IsHeroField" t="b"/>
  </richProperties>
  <richStyles>
    <rSty dxfid="0"/>
    <rSty dxfid="1"/>
    <rSty>
      <rpv i="0">1</rpv>
    </rSty>
    <rSty dxfid="2"/>
    <rSty dxfid="3"/>
    <rSty dxfid="4"/>
    <rSty dxfid="5"/>
    <rSty>
      <rpv i="1">1</rpv>
    </rSty>
    <rSty dxfid="6"/>
    <rSty>
      <rpv i="2">1</rpv>
    </rSty>
    <rSty dxfid="7"/>
    <rSty dxfid="8"/>
    <rSty dxfid="9"/>
    <rSty dxfid="10"/>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6C1B52-9642-449C-BCB4-925400ED5DDE}" name="Trade_data" displayName="Trade_data" ref="A1:J91" totalsRowCount="1" headerRowDxfId="40" dataDxfId="39">
  <autoFilter ref="A1:J90" xr:uid="{377E05AC-02ED-425F-86FD-F2E03B8D5657}"/>
  <sortState xmlns:xlrd2="http://schemas.microsoft.com/office/spreadsheetml/2017/richdata2" ref="A2:J85">
    <sortCondition ref="H1:H85"/>
  </sortState>
  <tableColumns count="10">
    <tableColumn id="1" xr3:uid="{2B5505FA-2E20-466C-96D6-DAF9E28CC07B}" name="Strategy" totalsRowLabel="Total" dataDxfId="38" totalsRowDxfId="37"/>
    <tableColumn id="2" xr3:uid="{96F7B648-F3BA-4CF5-B071-7371785A6BCE}" name="Stock" dataDxfId="36" totalsRowDxfId="35"/>
    <tableColumn id="3" xr3:uid="{BDA6D0EB-A325-4D28-B644-B105061389F7}" name="Entry Date" dataDxfId="34" totalsRowDxfId="33"/>
    <tableColumn id="4" xr3:uid="{B49F4582-45D5-4F35-AFDB-56633F1A6E5E}" name="Strike(s)" dataDxfId="32" totalsRowDxfId="31"/>
    <tableColumn id="9" xr3:uid="{B250695C-7115-4F4F-8016-C0B058425AFC}" name="Δ" dataDxfId="30" totalsRowDxfId="29"/>
    <tableColumn id="10" xr3:uid="{CE64D30D-D3E2-4ED1-B094-D1DBAB387A25}" name="Δdate" dataDxfId="28" totalsRowDxfId="27"/>
    <tableColumn id="5" xr3:uid="{33DCE67A-BA9C-4E12-A81F-774CF3E4363C}" name="Price" dataDxfId="26" totalsRowDxfId="25"/>
    <tableColumn id="6" xr3:uid="{98809BE2-419F-4803-95F9-BCFA21CB3DE0}" name="Exit Date" dataDxfId="24" totalsRowDxfId="23"/>
    <tableColumn id="7" xr3:uid="{4BF4DE5C-DF4D-44C0-A3BA-BCCB576E8EBE}" name="P/L " totalsRowFunction="sum" totalsRowDxfId="22"/>
    <tableColumn id="8" xr3:uid="{0F32E29B-7017-4653-BB7A-8A2BFC13458F}" name="ROI" totalsRowFunction="stdDev" dataDxfId="21" totalsRowDxfId="20" dataCellStyle="Percent"/>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0F8340-9363-45CE-99B8-D849B9214785}" name="ReturnTable" displayName="ReturnTable" ref="E21:L124" totalsRowShown="0" headerRowDxfId="16" headerRowCellStyle="Percent">
  <autoFilter ref="E21:L124" xr:uid="{910F8340-9363-45CE-99B8-D849B9214785}"/>
  <tableColumns count="8">
    <tableColumn id="1" xr3:uid="{DAFDE0F0-3942-4DAB-A8A0-8622BD292229}" name="Dates (Beg)" dataDxfId="15" totalsRowDxfId="14"/>
    <tableColumn id="2" xr3:uid="{C76C6DAA-3B7D-44CB-AA63-20457AACA1E0}" name="Beginning Equity" dataDxfId="13" totalsRowDxfId="12" dataCellStyle="Currency" totalsRowCellStyle="Currency"/>
    <tableColumn id="3" xr3:uid="{65FA2DE4-8A0F-4724-84EE-7724F050DCAF}" name="Deposits / Withdrawals" dataDxfId="11" totalsRowDxfId="10" dataCellStyle="Currency" totalsRowCellStyle="Currency"/>
    <tableColumn id="4" xr3:uid="{A1F3D222-62AA-4771-A7F2-57FA032CECF3}" name="Ending Equity" dataDxfId="9" totalsRowDxfId="8" dataCellStyle="Currency" totalsRowCellStyle="Currency"/>
    <tableColumn id="11" xr3:uid="{D6625349-DDD6-4E55-81C8-32AB30E73C70}" name="P/L" dataDxfId="7" totalsRowDxfId="6" dataCellStyle="Currency" totalsRowCellStyle="Currency"/>
    <tableColumn id="12" xr3:uid="{F47A4CE6-4A3D-4CF4-9E6C-93C8F2C09B5D}" name="Geometric Return" dataDxfId="5" totalsRowDxfId="4" dataCellStyle="Percent" totalsRowCellStyle="Percent"/>
    <tableColumn id="5" xr3:uid="{6B031D5B-FEB3-49F8-8DFD-D4A945B424F4}" name="Arithmetic Return" dataDxfId="3" totalsRowDxfId="2" dataCellStyle="Percent" totalsRowCellStyle="Percent"/>
    <tableColumn id="13" xr3:uid="{057809DD-6501-43CB-A979-19BA0B3DB0E5}" name="# trades" dataDxfId="1" totalsRow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36748-6A18-456F-B9A4-A85597AC2B1B}">
  <sheetPr codeName="Sheet1">
    <pageSetUpPr fitToPage="1"/>
  </sheetPr>
  <dimension ref="A1:M91"/>
  <sheetViews>
    <sheetView tabSelected="1" zoomScale="80" zoomScaleNormal="80" workbookViewId="0">
      <pane ySplit="1" topLeftCell="A2" activePane="bottomLeft" state="frozen"/>
      <selection pane="bottomLeft" activeCell="J60" sqref="J60"/>
    </sheetView>
  </sheetViews>
  <sheetFormatPr defaultRowHeight="14.4" x14ac:dyDescent="0.3"/>
  <cols>
    <col min="1" max="1" width="24.44140625" style="2" customWidth="1"/>
    <col min="2" max="2" width="61.6640625" style="2" customWidth="1"/>
    <col min="3" max="3" width="26" style="2" customWidth="1"/>
    <col min="4" max="4" width="37.6640625" style="2" customWidth="1"/>
    <col min="5" max="5" width="7.21875" style="2" customWidth="1"/>
    <col min="6" max="6" width="10.88671875" style="2" customWidth="1"/>
    <col min="7" max="7" width="11.21875" style="2" customWidth="1"/>
    <col min="8" max="8" width="17.88671875" style="2" customWidth="1"/>
    <col min="9" max="9" width="8.6640625" style="2" customWidth="1"/>
    <col min="10" max="10" width="9.6640625" style="17" bestFit="1" customWidth="1"/>
    <col min="11" max="11" width="14.33203125" style="2" customWidth="1"/>
    <col min="12" max="12" width="18.6640625" style="2" customWidth="1"/>
    <col min="13" max="16384" width="8.88671875" style="2"/>
  </cols>
  <sheetData>
    <row r="1" spans="1:13" x14ac:dyDescent="0.3">
      <c r="A1" s="1" t="s">
        <v>10</v>
      </c>
      <c r="B1" s="1" t="s">
        <v>0</v>
      </c>
      <c r="C1" s="4" t="s">
        <v>1</v>
      </c>
      <c r="D1" s="1" t="s">
        <v>12</v>
      </c>
      <c r="E1" s="7" t="s">
        <v>32</v>
      </c>
      <c r="F1" s="1" t="s">
        <v>33</v>
      </c>
      <c r="G1" s="1" t="s">
        <v>2</v>
      </c>
      <c r="H1" s="1" t="s">
        <v>3</v>
      </c>
      <c r="I1" s="1" t="s">
        <v>4</v>
      </c>
      <c r="J1" s="16" t="s">
        <v>137</v>
      </c>
    </row>
    <row r="2" spans="1:13" x14ac:dyDescent="0.3">
      <c r="A2" s="2" t="s">
        <v>190</v>
      </c>
      <c r="C2" s="3">
        <v>43691.395833333336</v>
      </c>
      <c r="F2" s="3"/>
      <c r="G2" s="31">
        <v>500</v>
      </c>
      <c r="H2" s="3">
        <v>43691.395833333336</v>
      </c>
      <c r="I2" s="5"/>
      <c r="K2" s="26"/>
      <c r="L2" s="26"/>
    </row>
    <row r="3" spans="1:13" x14ac:dyDescent="0.3">
      <c r="A3" s="2" t="s">
        <v>41</v>
      </c>
      <c r="B3" s="2" t="e" vm="1">
        <v>#VALUE!</v>
      </c>
      <c r="C3" s="3">
        <v>43691.409722222219</v>
      </c>
      <c r="D3" s="2" t="s">
        <v>160</v>
      </c>
      <c r="E3" s="2" t="s">
        <v>31</v>
      </c>
      <c r="F3" s="3"/>
      <c r="G3" s="2" t="s">
        <v>161</v>
      </c>
      <c r="H3" s="3">
        <v>43691.418749999997</v>
      </c>
      <c r="I3" s="5">
        <v>-0.02</v>
      </c>
      <c r="J3" s="17">
        <v>-4.2500000000000003E-2</v>
      </c>
      <c r="K3" s="27"/>
      <c r="L3" s="26"/>
      <c r="M3" s="6"/>
    </row>
    <row r="4" spans="1:13" x14ac:dyDescent="0.3">
      <c r="A4" s="2" t="s">
        <v>120</v>
      </c>
      <c r="B4" s="2" t="e" vm="2">
        <v>#VALUE!</v>
      </c>
      <c r="C4" s="3">
        <v>43691.400694444441</v>
      </c>
      <c r="D4" s="2" t="s">
        <v>158</v>
      </c>
      <c r="E4" s="2" t="s">
        <v>31</v>
      </c>
      <c r="F4" s="3"/>
      <c r="G4" s="2" t="s">
        <v>159</v>
      </c>
      <c r="H4" s="3">
        <v>43692.45</v>
      </c>
      <c r="I4" s="5">
        <v>-0.48</v>
      </c>
      <c r="J4" s="17">
        <v>-0.23760000000000001</v>
      </c>
      <c r="L4" s="26"/>
    </row>
    <row r="5" spans="1:13" x14ac:dyDescent="0.3">
      <c r="A5" s="2" t="s">
        <v>11</v>
      </c>
      <c r="B5" s="2" t="e" vm="3">
        <v>#VALUE!</v>
      </c>
      <c r="C5" s="3">
        <v>43691.65625</v>
      </c>
      <c r="D5" s="2" t="s">
        <v>164</v>
      </c>
      <c r="E5" s="2" t="s">
        <v>31</v>
      </c>
      <c r="F5" s="3"/>
      <c r="G5" s="2" t="s">
        <v>127</v>
      </c>
      <c r="H5" s="3">
        <v>43693.443749999999</v>
      </c>
      <c r="I5" s="5">
        <v>0.14000000000000001</v>
      </c>
      <c r="J5" s="17">
        <v>0.29170000000000001</v>
      </c>
      <c r="L5" s="26"/>
    </row>
    <row r="6" spans="1:13" x14ac:dyDescent="0.3">
      <c r="A6" s="2" t="s">
        <v>41</v>
      </c>
      <c r="B6" s="2" t="e" vm="4">
        <v>#VALUE!</v>
      </c>
      <c r="C6" s="3">
        <v>43693.532638888886</v>
      </c>
      <c r="D6" s="2" t="s">
        <v>167</v>
      </c>
      <c r="E6" s="2" t="s">
        <v>31</v>
      </c>
      <c r="F6" s="3"/>
      <c r="G6" s="2" t="s">
        <v>168</v>
      </c>
      <c r="H6" s="3">
        <v>43697.522916666669</v>
      </c>
      <c r="I6" s="5">
        <v>0.15</v>
      </c>
      <c r="J6" s="17">
        <v>0.57689999999999997</v>
      </c>
      <c r="L6" s="26"/>
    </row>
    <row r="7" spans="1:13" x14ac:dyDescent="0.3">
      <c r="A7" s="2" t="s">
        <v>11</v>
      </c>
      <c r="B7" s="2" t="e" vm="5">
        <v>#VALUE!</v>
      </c>
      <c r="C7" s="3">
        <v>43691.532638888886</v>
      </c>
      <c r="D7" s="2" t="s">
        <v>162</v>
      </c>
      <c r="E7" s="2" t="s">
        <v>31</v>
      </c>
      <c r="F7" s="3"/>
      <c r="G7" s="2" t="s">
        <v>163</v>
      </c>
      <c r="H7" s="3">
        <v>43700.464583333334</v>
      </c>
      <c r="I7" s="5">
        <v>0.05</v>
      </c>
      <c r="J7" s="17">
        <v>3.3329999999999999E-2</v>
      </c>
      <c r="L7" s="26"/>
    </row>
    <row r="8" spans="1:13" x14ac:dyDescent="0.3">
      <c r="A8" s="2" t="s">
        <v>120</v>
      </c>
      <c r="B8" s="2" t="e" vm="6">
        <v>#VALUE!</v>
      </c>
      <c r="C8" s="3">
        <v>43705.663194444445</v>
      </c>
      <c r="D8" s="2" t="s">
        <v>169</v>
      </c>
      <c r="E8" s="2" t="s">
        <v>31</v>
      </c>
      <c r="F8" s="3"/>
      <c r="G8" s="2" t="s">
        <v>170</v>
      </c>
      <c r="H8" s="3">
        <v>43706.396527777775</v>
      </c>
      <c r="I8" s="5">
        <v>0.17</v>
      </c>
      <c r="J8" s="17">
        <v>0.24279999999999999</v>
      </c>
      <c r="L8" s="26"/>
    </row>
    <row r="9" spans="1:13" x14ac:dyDescent="0.3">
      <c r="A9" s="2" t="s">
        <v>11</v>
      </c>
      <c r="B9" s="2" t="e" vm="7">
        <v>#VALUE!</v>
      </c>
      <c r="C9" s="3">
        <v>43692.401388888888</v>
      </c>
      <c r="D9" s="2" t="s">
        <v>165</v>
      </c>
      <c r="E9" s="2" t="s">
        <v>31</v>
      </c>
      <c r="F9" s="3"/>
      <c r="G9" s="2" t="s">
        <v>166</v>
      </c>
      <c r="H9" s="3">
        <v>43719.547222222223</v>
      </c>
      <c r="I9" s="5">
        <v>0.1</v>
      </c>
      <c r="J9" s="17">
        <v>2.5770000000000001E-2</v>
      </c>
      <c r="L9" s="26"/>
    </row>
    <row r="10" spans="1:13" x14ac:dyDescent="0.3">
      <c r="A10" s="2" t="s">
        <v>41</v>
      </c>
      <c r="B10" s="2" t="e" vm="8">
        <v>#VALUE!</v>
      </c>
      <c r="C10" s="3">
        <v>43741.588888888888</v>
      </c>
      <c r="D10" s="2" t="s">
        <v>173</v>
      </c>
      <c r="E10" s="2" t="s">
        <v>31</v>
      </c>
      <c r="F10" s="3"/>
      <c r="G10" s="2" t="s">
        <v>174</v>
      </c>
      <c r="H10" s="3">
        <v>43745.479166666664</v>
      </c>
      <c r="I10" s="5">
        <v>-0.28000000000000003</v>
      </c>
      <c r="J10" s="17">
        <v>-0.12609999999999999</v>
      </c>
      <c r="L10" s="26"/>
    </row>
    <row r="11" spans="1:13" x14ac:dyDescent="0.3">
      <c r="A11" s="2" t="s">
        <v>41</v>
      </c>
      <c r="B11" s="2" t="e" vm="9">
        <v>#VALUE!</v>
      </c>
      <c r="C11" s="3">
        <v>43714.484722222223</v>
      </c>
      <c r="D11" s="2" t="s">
        <v>171</v>
      </c>
      <c r="E11" s="2" t="s">
        <v>31</v>
      </c>
      <c r="F11" s="3"/>
      <c r="G11" s="2" t="s">
        <v>172</v>
      </c>
      <c r="H11" s="3">
        <v>43756.666666666664</v>
      </c>
      <c r="I11" s="5">
        <v>-0.33</v>
      </c>
      <c r="J11" s="17">
        <v>-1</v>
      </c>
      <c r="L11" s="26"/>
    </row>
    <row r="12" spans="1:13" x14ac:dyDescent="0.3">
      <c r="A12" s="2" t="s">
        <v>48</v>
      </c>
      <c r="B12" s="2" t="e" vm="10">
        <v>#VALUE!</v>
      </c>
      <c r="C12" s="3">
        <v>43774.595138888886</v>
      </c>
      <c r="D12" s="2" t="s">
        <v>175</v>
      </c>
      <c r="E12" s="2" t="s">
        <v>31</v>
      </c>
      <c r="F12" s="3"/>
      <c r="G12" s="2" t="s">
        <v>113</v>
      </c>
      <c r="H12" s="3">
        <v>43794.666666666664</v>
      </c>
      <c r="I12" s="5">
        <v>-0.57999999999999996</v>
      </c>
      <c r="J12" s="17">
        <v>-1</v>
      </c>
      <c r="L12" s="26"/>
    </row>
    <row r="13" spans="1:13" x14ac:dyDescent="0.3">
      <c r="A13" s="2" t="s">
        <v>11</v>
      </c>
      <c r="B13" s="2" t="e" vm="11">
        <v>#VALUE!</v>
      </c>
      <c r="C13" s="3">
        <v>43850.531944444447</v>
      </c>
      <c r="D13" s="2" t="s">
        <v>176</v>
      </c>
      <c r="E13" s="2" t="s">
        <v>31</v>
      </c>
      <c r="F13" s="3"/>
      <c r="G13" s="2" t="s">
        <v>177</v>
      </c>
      <c r="H13" s="3">
        <v>43860.493750000001</v>
      </c>
      <c r="I13" s="5">
        <v>-0.48</v>
      </c>
      <c r="J13" s="17">
        <v>-0.27110000000000001</v>
      </c>
      <c r="L13" s="26"/>
    </row>
    <row r="14" spans="1:13" x14ac:dyDescent="0.3">
      <c r="A14" s="2" t="s">
        <v>190</v>
      </c>
      <c r="C14" s="3">
        <v>44014.395833333336</v>
      </c>
      <c r="F14" s="3"/>
      <c r="G14" s="31">
        <v>317.02</v>
      </c>
      <c r="H14" s="3">
        <v>44014.395833333336</v>
      </c>
      <c r="I14" s="5"/>
      <c r="L14" s="26" t="str">
        <f>MID(D14, 2,1)</f>
        <v/>
      </c>
    </row>
    <row r="15" spans="1:13" x14ac:dyDescent="0.3">
      <c r="A15" s="2" t="s">
        <v>178</v>
      </c>
      <c r="B15" s="2" t="e" vm="12">
        <v>#VALUE!</v>
      </c>
      <c r="C15" s="3">
        <v>44013.586805555555</v>
      </c>
      <c r="D15" s="2" t="s">
        <v>179</v>
      </c>
      <c r="E15" s="2" t="s">
        <v>31</v>
      </c>
      <c r="F15" s="3"/>
      <c r="G15" s="30" t="s">
        <v>180</v>
      </c>
      <c r="H15" s="3">
        <v>44014.402777777781</v>
      </c>
      <c r="I15" s="5">
        <v>-1.86</v>
      </c>
      <c r="J15" s="17">
        <v>-0.66659999999999997</v>
      </c>
      <c r="K15" s="58"/>
      <c r="L15" s="58"/>
    </row>
    <row r="16" spans="1:13" x14ac:dyDescent="0.3">
      <c r="A16" s="2" t="s">
        <v>11</v>
      </c>
      <c r="B16" s="2" t="e" vm="13">
        <v>#VALUE!</v>
      </c>
      <c r="C16" s="3">
        <v>44014.586111111108</v>
      </c>
      <c r="D16" s="2" t="s">
        <v>181</v>
      </c>
      <c r="E16" s="2" t="s">
        <v>31</v>
      </c>
      <c r="F16" s="3"/>
      <c r="G16" s="2" t="s">
        <v>170</v>
      </c>
      <c r="H16" s="3">
        <v>44018.624305555553</v>
      </c>
      <c r="I16" s="5">
        <v>0.1</v>
      </c>
      <c r="J16" s="17">
        <v>0.14280000000000001</v>
      </c>
      <c r="K16" s="59"/>
      <c r="L16" s="60"/>
    </row>
    <row r="17" spans="1:10" x14ac:dyDescent="0.3">
      <c r="A17" s="2" t="s">
        <v>11</v>
      </c>
      <c r="B17" s="2" t="e" vm="14">
        <v>#VALUE!</v>
      </c>
      <c r="C17" s="3">
        <v>44014.594444444447</v>
      </c>
      <c r="D17" s="2" t="s">
        <v>182</v>
      </c>
      <c r="E17" s="2" t="s">
        <v>31</v>
      </c>
      <c r="F17" s="3"/>
      <c r="G17" s="2" t="s">
        <v>183</v>
      </c>
      <c r="H17" s="3">
        <v>44020.458333333336</v>
      </c>
      <c r="I17" s="5">
        <v>0.73</v>
      </c>
      <c r="J17" s="17">
        <v>0.4244</v>
      </c>
    </row>
    <row r="18" spans="1:10" x14ac:dyDescent="0.3">
      <c r="A18" s="2" t="s">
        <v>11</v>
      </c>
      <c r="B18" s="2" t="e" vm="15">
        <v>#VALUE!</v>
      </c>
      <c r="C18" s="3">
        <v>44018.625694444447</v>
      </c>
      <c r="D18" s="2" t="s">
        <v>184</v>
      </c>
      <c r="E18" s="2" t="s">
        <v>31</v>
      </c>
      <c r="F18" s="3"/>
      <c r="G18" s="2" t="s">
        <v>185</v>
      </c>
      <c r="H18" s="3">
        <v>44029.534722222219</v>
      </c>
      <c r="I18" s="5">
        <v>0.27</v>
      </c>
      <c r="J18" s="17">
        <v>0.31759999999999999</v>
      </c>
    </row>
    <row r="19" spans="1:10" x14ac:dyDescent="0.3">
      <c r="A19" s="2" t="s">
        <v>190</v>
      </c>
      <c r="C19" s="3">
        <v>44032.395833333336</v>
      </c>
      <c r="F19" s="3"/>
      <c r="G19" s="31">
        <v>5</v>
      </c>
      <c r="H19" s="3">
        <v>44032.395833333336</v>
      </c>
      <c r="I19" s="5"/>
    </row>
    <row r="20" spans="1:10" x14ac:dyDescent="0.3">
      <c r="A20" s="2" t="s">
        <v>11</v>
      </c>
      <c r="B20" s="2" t="e" vm="16">
        <v>#VALUE!</v>
      </c>
      <c r="C20" s="3">
        <v>44042.449305555558</v>
      </c>
      <c r="D20" s="2" t="s">
        <v>17</v>
      </c>
      <c r="E20" s="2" t="s">
        <v>31</v>
      </c>
      <c r="F20" s="3"/>
      <c r="G20" s="2" t="s">
        <v>9</v>
      </c>
      <c r="H20" s="3">
        <v>44067.40347222222</v>
      </c>
      <c r="I20" s="5">
        <v>1</v>
      </c>
      <c r="J20" s="17">
        <v>0.33329999999999999</v>
      </c>
    </row>
    <row r="21" spans="1:10" x14ac:dyDescent="0.3">
      <c r="A21" s="2" t="s">
        <v>11</v>
      </c>
      <c r="B21" s="2" t="e" vm="16">
        <v>#VALUE!</v>
      </c>
      <c r="C21" s="3">
        <v>44082.583333333336</v>
      </c>
      <c r="D21" s="2" t="s">
        <v>16</v>
      </c>
      <c r="E21" s="2" t="s">
        <v>31</v>
      </c>
      <c r="F21" s="3"/>
      <c r="G21" s="2" t="s">
        <v>8</v>
      </c>
      <c r="H21" s="3">
        <v>44103.579861111109</v>
      </c>
      <c r="I21" s="5">
        <v>1</v>
      </c>
      <c r="J21" s="17">
        <v>0.33439999999999998</v>
      </c>
    </row>
    <row r="22" spans="1:10" x14ac:dyDescent="0.3">
      <c r="A22" s="2" t="s">
        <v>18</v>
      </c>
      <c r="B22" s="2" t="e" vm="17">
        <v>#VALUE!</v>
      </c>
      <c r="C22" s="3">
        <v>44139.563194444447</v>
      </c>
      <c r="D22" s="2" t="s">
        <v>19</v>
      </c>
      <c r="E22" s="2" t="s">
        <v>31</v>
      </c>
      <c r="F22" s="3"/>
      <c r="G22" s="2" t="s">
        <v>20</v>
      </c>
      <c r="H22" s="3">
        <v>44144.397222222222</v>
      </c>
      <c r="I22" s="5">
        <v>1</v>
      </c>
      <c r="J22" s="17">
        <v>0.36363000000000001</v>
      </c>
    </row>
    <row r="23" spans="1:10" x14ac:dyDescent="0.3">
      <c r="A23" s="2" t="s">
        <v>11</v>
      </c>
      <c r="B23" s="2" t="e" vm="16">
        <v>#VALUE!</v>
      </c>
      <c r="C23" s="3">
        <v>44139.525694444441</v>
      </c>
      <c r="D23" s="2" t="s">
        <v>14</v>
      </c>
      <c r="E23" s="2" t="s">
        <v>31</v>
      </c>
      <c r="F23" s="3"/>
      <c r="G23" s="2" t="s">
        <v>6</v>
      </c>
      <c r="H23" s="3">
        <v>44159.395833333336</v>
      </c>
      <c r="I23" s="5">
        <v>1.25</v>
      </c>
      <c r="J23" s="17">
        <v>0.45450000000000002</v>
      </c>
    </row>
    <row r="24" spans="1:10" x14ac:dyDescent="0.3">
      <c r="A24" s="2" t="s">
        <v>11</v>
      </c>
      <c r="B24" s="2" t="e" vm="18">
        <v>#VALUE!</v>
      </c>
      <c r="C24" s="3">
        <v>44146.522222222222</v>
      </c>
      <c r="D24" s="2" t="s">
        <v>15</v>
      </c>
      <c r="E24" s="2" t="s">
        <v>31</v>
      </c>
      <c r="F24" s="3"/>
      <c r="G24" s="2" t="s">
        <v>7</v>
      </c>
      <c r="H24" s="3">
        <v>44159.646527777775</v>
      </c>
      <c r="I24" s="5">
        <v>0.9</v>
      </c>
      <c r="J24" s="17">
        <v>0.28125</v>
      </c>
    </row>
    <row r="25" spans="1:10" x14ac:dyDescent="0.3">
      <c r="A25" s="2" t="s">
        <v>27</v>
      </c>
      <c r="B25" s="2" t="e" vm="19">
        <v>#VALUE!</v>
      </c>
      <c r="C25" s="3">
        <v>44144.411111111112</v>
      </c>
      <c r="D25" s="2" t="s">
        <v>28</v>
      </c>
      <c r="E25" s="2" t="s">
        <v>31</v>
      </c>
      <c r="F25" s="3"/>
      <c r="G25" s="2" t="s">
        <v>29</v>
      </c>
      <c r="H25" s="3">
        <v>44167.631944444445</v>
      </c>
      <c r="I25" s="5">
        <v>-0.2</v>
      </c>
      <c r="J25" s="17">
        <v>-0.1</v>
      </c>
    </row>
    <row r="26" spans="1:10" x14ac:dyDescent="0.3">
      <c r="A26" s="2" t="s">
        <v>24</v>
      </c>
      <c r="B26" s="2" t="e" vm="20">
        <v>#VALUE!</v>
      </c>
      <c r="C26" s="3">
        <v>44165.563194444447</v>
      </c>
      <c r="D26" s="2" t="s">
        <v>25</v>
      </c>
      <c r="E26" s="2" t="s">
        <v>31</v>
      </c>
      <c r="F26" s="3"/>
      <c r="G26" s="2" t="s">
        <v>26</v>
      </c>
      <c r="H26" s="3">
        <v>44167.634027777778</v>
      </c>
      <c r="I26" s="5">
        <v>0.15</v>
      </c>
      <c r="J26" s="17">
        <v>4.0214399999999997E-2</v>
      </c>
    </row>
    <row r="27" spans="1:10" x14ac:dyDescent="0.3">
      <c r="A27" s="2" t="s">
        <v>22</v>
      </c>
      <c r="B27" s="2" t="e" vm="21">
        <v>#VALUE!</v>
      </c>
      <c r="C27" s="3">
        <v>44162.540972222225</v>
      </c>
      <c r="D27" s="2" t="s">
        <v>23</v>
      </c>
      <c r="E27" s="2" t="s">
        <v>31</v>
      </c>
      <c r="F27" s="3"/>
      <c r="G27" s="2" t="s">
        <v>5</v>
      </c>
      <c r="H27" s="3">
        <v>44168.574999999997</v>
      </c>
      <c r="I27" s="5">
        <v>0.89</v>
      </c>
      <c r="J27" s="17">
        <v>0.27469100000000002</v>
      </c>
    </row>
    <row r="28" spans="1:10" x14ac:dyDescent="0.3">
      <c r="A28" s="2" t="s">
        <v>63</v>
      </c>
      <c r="B28" s="2" t="e" vm="22">
        <v>#VALUE!</v>
      </c>
      <c r="C28" s="3">
        <v>44168.65347222222</v>
      </c>
      <c r="D28" s="2" t="s">
        <v>64</v>
      </c>
      <c r="E28" s="2" t="s">
        <v>31</v>
      </c>
      <c r="F28" s="3"/>
      <c r="G28" s="2" t="s">
        <v>65</v>
      </c>
      <c r="H28" s="3">
        <v>44168.662499999999</v>
      </c>
      <c r="I28" s="5">
        <v>-0.38</v>
      </c>
      <c r="J28" s="17">
        <v>-0.1</v>
      </c>
    </row>
    <row r="29" spans="1:10" x14ac:dyDescent="0.3">
      <c r="A29" s="2" t="s">
        <v>11</v>
      </c>
      <c r="B29" s="2" t="e" vm="17">
        <v>#VALUE!</v>
      </c>
      <c r="C29" s="3">
        <v>44159.660416666666</v>
      </c>
      <c r="D29" s="2" t="s">
        <v>13</v>
      </c>
      <c r="E29" s="2" t="s">
        <v>30</v>
      </c>
      <c r="F29" s="3">
        <v>44167.6</v>
      </c>
      <c r="G29" s="2" t="s">
        <v>5</v>
      </c>
      <c r="H29" s="3">
        <v>44182.411111111112</v>
      </c>
      <c r="I29" s="5">
        <v>0.69</v>
      </c>
      <c r="J29" s="17">
        <v>0.21296000000000001</v>
      </c>
    </row>
    <row r="30" spans="1:10" x14ac:dyDescent="0.3">
      <c r="A30" s="2" t="s">
        <v>24</v>
      </c>
      <c r="B30" s="2" t="e" vm="23">
        <v>#VALUE!</v>
      </c>
      <c r="C30" s="3">
        <v>44167.656944444447</v>
      </c>
      <c r="D30" s="2" t="s">
        <v>34</v>
      </c>
      <c r="E30" s="2" t="s">
        <v>31</v>
      </c>
      <c r="F30" s="3"/>
      <c r="G30" s="2" t="s">
        <v>35</v>
      </c>
      <c r="H30" s="3">
        <v>44186.396527777775</v>
      </c>
      <c r="I30" s="5">
        <v>0.5</v>
      </c>
      <c r="J30" s="17">
        <v>0.196078</v>
      </c>
    </row>
    <row r="31" spans="1:10" x14ac:dyDescent="0.3">
      <c r="A31" s="2" t="s">
        <v>11</v>
      </c>
      <c r="B31" s="2" t="e" vm="24">
        <v>#VALUE!</v>
      </c>
      <c r="C31" s="3">
        <v>44168.588888888888</v>
      </c>
      <c r="D31" s="2" t="s">
        <v>36</v>
      </c>
      <c r="E31" s="2" t="s">
        <v>31</v>
      </c>
      <c r="F31" s="3"/>
      <c r="G31" s="2" t="s">
        <v>37</v>
      </c>
      <c r="H31" s="3">
        <v>44186.461111111108</v>
      </c>
      <c r="I31" s="5">
        <v>1</v>
      </c>
      <c r="J31" s="17">
        <v>0.353356</v>
      </c>
    </row>
    <row r="32" spans="1:10" x14ac:dyDescent="0.3">
      <c r="A32" s="2" t="s">
        <v>48</v>
      </c>
      <c r="B32" s="2" t="e" vm="17">
        <v>#VALUE!</v>
      </c>
      <c r="C32" s="3">
        <v>44187.445833333331</v>
      </c>
      <c r="D32" s="2" t="s">
        <v>49</v>
      </c>
      <c r="E32" s="2" t="s">
        <v>31</v>
      </c>
      <c r="F32" s="3"/>
      <c r="G32" s="28" t="s">
        <v>50</v>
      </c>
      <c r="H32" s="3">
        <v>44188.42291666667</v>
      </c>
      <c r="I32" s="5">
        <v>-0.04</v>
      </c>
      <c r="J32" s="17">
        <v>-6.4500000000000002E-2</v>
      </c>
    </row>
    <row r="33" spans="1:10" x14ac:dyDescent="0.3">
      <c r="A33" s="2" t="s">
        <v>11</v>
      </c>
      <c r="B33" s="2" t="e" vm="25">
        <v>#VALUE!</v>
      </c>
      <c r="C33" s="3">
        <v>44186.543749999997</v>
      </c>
      <c r="D33" s="2" t="s">
        <v>46</v>
      </c>
      <c r="E33" s="2" t="s">
        <v>31</v>
      </c>
      <c r="F33" s="3"/>
      <c r="G33" s="2" t="s">
        <v>47</v>
      </c>
      <c r="H33" s="3">
        <v>44188.48333333333</v>
      </c>
      <c r="I33" s="5">
        <v>0.27</v>
      </c>
      <c r="J33" s="17">
        <v>6.5852999999999995E-2</v>
      </c>
    </row>
    <row r="34" spans="1:10" x14ac:dyDescent="0.3">
      <c r="A34" s="2" t="s">
        <v>11</v>
      </c>
      <c r="B34" s="2" t="e" vm="26">
        <v>#VALUE!</v>
      </c>
      <c r="C34" s="3">
        <v>44188.488888888889</v>
      </c>
      <c r="D34" s="2" t="s">
        <v>51</v>
      </c>
      <c r="E34" s="2" t="s">
        <v>53</v>
      </c>
      <c r="F34" s="3">
        <v>44193.615972222222</v>
      </c>
      <c r="G34" s="2" t="s">
        <v>52</v>
      </c>
      <c r="H34" s="3">
        <v>44194.587500000001</v>
      </c>
      <c r="I34" s="5">
        <v>0.04</v>
      </c>
      <c r="J34" s="17">
        <v>7.7520000000000002E-3</v>
      </c>
    </row>
    <row r="35" spans="1:10" x14ac:dyDescent="0.3">
      <c r="A35" s="2" t="s">
        <v>11</v>
      </c>
      <c r="B35" s="28" t="e" vm="27">
        <v>#VALUE!</v>
      </c>
      <c r="C35" s="3">
        <v>44186.490972222222</v>
      </c>
      <c r="D35" s="2" t="s">
        <v>43</v>
      </c>
      <c r="E35" s="2" t="s">
        <v>31</v>
      </c>
      <c r="F35" s="3"/>
      <c r="G35" s="28" t="s">
        <v>45</v>
      </c>
      <c r="H35" s="3">
        <v>44200.405555555553</v>
      </c>
      <c r="I35" s="5">
        <v>0.4</v>
      </c>
      <c r="J35" s="17">
        <v>0.12195</v>
      </c>
    </row>
    <row r="36" spans="1:10" x14ac:dyDescent="0.3">
      <c r="A36" s="2" t="s">
        <v>24</v>
      </c>
      <c r="B36" s="2" t="e" vm="28">
        <v>#VALUE!</v>
      </c>
      <c r="C36" s="3">
        <v>44202.615277777775</v>
      </c>
      <c r="D36" s="2" t="s">
        <v>57</v>
      </c>
      <c r="E36" s="2" t="s">
        <v>31</v>
      </c>
      <c r="F36" s="3"/>
      <c r="G36" s="28" t="s">
        <v>61</v>
      </c>
      <c r="H36" s="3">
        <v>44203.419444444444</v>
      </c>
      <c r="I36" s="5">
        <v>0.31</v>
      </c>
      <c r="J36" s="17">
        <v>0.1003</v>
      </c>
    </row>
    <row r="37" spans="1:10" x14ac:dyDescent="0.3">
      <c r="A37" s="2" t="s">
        <v>18</v>
      </c>
      <c r="B37" s="28" t="e" vm="29">
        <v>#VALUE!</v>
      </c>
      <c r="C37" s="3">
        <v>44169.647222222222</v>
      </c>
      <c r="D37" s="2" t="s">
        <v>38</v>
      </c>
      <c r="E37" s="2" t="s">
        <v>40</v>
      </c>
      <c r="F37" s="3">
        <v>44183.628472222219</v>
      </c>
      <c r="G37" s="2" t="s">
        <v>39</v>
      </c>
      <c r="H37" s="3">
        <v>44203.430555555555</v>
      </c>
      <c r="I37" s="5">
        <v>0.85</v>
      </c>
      <c r="J37" s="17">
        <v>0.27868799999999999</v>
      </c>
    </row>
    <row r="38" spans="1:10" x14ac:dyDescent="0.3">
      <c r="A38" s="2" t="s">
        <v>24</v>
      </c>
      <c r="B38" s="2" t="e" vm="17">
        <v>#VALUE!</v>
      </c>
      <c r="C38" s="3">
        <v>44202.611111111109</v>
      </c>
      <c r="D38" s="2" t="s">
        <v>58</v>
      </c>
      <c r="E38" s="2" t="s">
        <v>31</v>
      </c>
      <c r="F38" s="3"/>
      <c r="G38" s="2" t="s">
        <v>62</v>
      </c>
      <c r="H38" s="3">
        <v>44207.395833333336</v>
      </c>
      <c r="I38" s="5">
        <v>-0.5</v>
      </c>
      <c r="J38" s="17">
        <v>-0.28079999999999999</v>
      </c>
    </row>
    <row r="39" spans="1:10" hidden="1" x14ac:dyDescent="0.3">
      <c r="A39" s="2" t="s">
        <v>66</v>
      </c>
      <c r="B39" s="29" t="e" vm="30">
        <v>#VALUE!</v>
      </c>
      <c r="C39" s="3">
        <v>44204.554861111108</v>
      </c>
      <c r="D39" s="2" t="s">
        <v>67</v>
      </c>
      <c r="E39" s="2" t="s">
        <v>71</v>
      </c>
      <c r="F39" s="3">
        <v>44207.552777777775</v>
      </c>
      <c r="G39" s="2" t="s">
        <v>68</v>
      </c>
      <c r="H39" s="3">
        <v>44209.484722222223</v>
      </c>
      <c r="I39" s="32">
        <f>-13.4 + 0.76</f>
        <v>-12.64</v>
      </c>
      <c r="J39" s="17">
        <v>-4</v>
      </c>
    </row>
    <row r="40" spans="1:10" x14ac:dyDescent="0.3">
      <c r="A40" s="2" t="s">
        <v>41</v>
      </c>
      <c r="B40" s="2" t="e" vm="31">
        <v>#VALUE!</v>
      </c>
      <c r="C40" s="3">
        <v>44186.487500000003</v>
      </c>
      <c r="D40" s="2" t="s">
        <v>42</v>
      </c>
      <c r="E40" s="2" t="s">
        <v>54</v>
      </c>
      <c r="F40" s="3">
        <v>44194.612500000003</v>
      </c>
      <c r="G40" s="2" t="s">
        <v>44</v>
      </c>
      <c r="H40" s="3">
        <v>44209.486111111109</v>
      </c>
      <c r="I40" s="5">
        <v>-0.68</v>
      </c>
      <c r="J40" s="17">
        <v>-0.62385000000000002</v>
      </c>
    </row>
    <row r="41" spans="1:10" x14ac:dyDescent="0.3">
      <c r="A41" s="2" t="s">
        <v>11</v>
      </c>
      <c r="B41" s="2" t="e" vm="32">
        <v>#VALUE!</v>
      </c>
      <c r="C41" s="3">
        <v>44189.415277777778</v>
      </c>
      <c r="D41" s="2" t="s">
        <v>56</v>
      </c>
      <c r="E41" s="2" t="s">
        <v>31</v>
      </c>
      <c r="F41" s="3"/>
      <c r="G41" s="2" t="s">
        <v>59</v>
      </c>
      <c r="H41" s="3">
        <v>44209.486111111109</v>
      </c>
      <c r="I41" s="5">
        <v>0.15</v>
      </c>
      <c r="J41" s="17">
        <v>6.9800000000000001E-2</v>
      </c>
    </row>
    <row r="42" spans="1:10" x14ac:dyDescent="0.3">
      <c r="A42" s="2" t="s">
        <v>24</v>
      </c>
      <c r="B42" s="30" t="e" vm="23">
        <v>#VALUE!</v>
      </c>
      <c r="C42" s="3">
        <v>44194.595833333333</v>
      </c>
      <c r="D42" s="2" t="s">
        <v>55</v>
      </c>
      <c r="E42" s="2" t="s">
        <v>69</v>
      </c>
      <c r="F42" s="3" t="s">
        <v>70</v>
      </c>
      <c r="G42" s="2" t="s">
        <v>60</v>
      </c>
      <c r="H42" s="3">
        <v>44209.486111111109</v>
      </c>
      <c r="I42" s="5">
        <v>-1.52</v>
      </c>
      <c r="J42" s="17">
        <v>-0.71360000000000001</v>
      </c>
    </row>
    <row r="43" spans="1:10" x14ac:dyDescent="0.3">
      <c r="A43" s="2" t="s">
        <v>190</v>
      </c>
      <c r="C43" s="3">
        <v>44249.395833333336</v>
      </c>
      <c r="F43" s="3"/>
      <c r="G43" s="31">
        <v>750</v>
      </c>
      <c r="H43" s="3">
        <v>44249.395833333336</v>
      </c>
      <c r="I43" s="5"/>
    </row>
    <row r="44" spans="1:10" x14ac:dyDescent="0.3">
      <c r="A44" s="2" t="s">
        <v>48</v>
      </c>
      <c r="B44" s="2" t="e" vm="33">
        <v>#VALUE!</v>
      </c>
      <c r="C44" s="3">
        <v>44249.52847222222</v>
      </c>
      <c r="D44" s="2" t="s">
        <v>73</v>
      </c>
      <c r="E44" s="2" t="s">
        <v>31</v>
      </c>
      <c r="F44" s="3"/>
      <c r="G44" s="2" t="s">
        <v>74</v>
      </c>
      <c r="H44" s="3">
        <v>44250.400694444441</v>
      </c>
      <c r="I44" s="5">
        <v>0.3</v>
      </c>
      <c r="J44" s="17">
        <v>0.22559999999999999</v>
      </c>
    </row>
    <row r="45" spans="1:10" x14ac:dyDescent="0.3">
      <c r="A45" s="2" t="s">
        <v>48</v>
      </c>
      <c r="B45" s="2" t="e" vm="34">
        <v>#VALUE!</v>
      </c>
      <c r="C45" s="3">
        <v>44251.472916666666</v>
      </c>
      <c r="D45" s="2" t="s">
        <v>80</v>
      </c>
      <c r="E45" s="2" t="s">
        <v>31</v>
      </c>
      <c r="F45" s="3"/>
      <c r="G45" s="2" t="s">
        <v>81</v>
      </c>
      <c r="H45" s="3">
        <v>44252.43472222222</v>
      </c>
      <c r="I45" s="5">
        <v>0.05</v>
      </c>
      <c r="J45" s="17">
        <v>0.33329999999999999</v>
      </c>
    </row>
    <row r="46" spans="1:10" x14ac:dyDescent="0.3">
      <c r="A46" s="2" t="s">
        <v>75</v>
      </c>
      <c r="B46" s="2" t="e" vm="35">
        <v>#VALUE!</v>
      </c>
      <c r="C46" s="3">
        <v>44249.574999999997</v>
      </c>
      <c r="D46" s="2" t="s">
        <v>76</v>
      </c>
      <c r="E46" s="2" t="s">
        <v>31</v>
      </c>
      <c r="F46" s="3"/>
      <c r="G46" s="2" t="s">
        <v>77</v>
      </c>
      <c r="H46" s="3">
        <v>44252.522222222222</v>
      </c>
      <c r="I46" s="5">
        <v>0</v>
      </c>
      <c r="J46" s="17">
        <v>0</v>
      </c>
    </row>
    <row r="47" spans="1:10" x14ac:dyDescent="0.3">
      <c r="A47" s="2" t="s">
        <v>22</v>
      </c>
      <c r="B47" s="2" t="e" vm="36">
        <v>#VALUE!</v>
      </c>
      <c r="C47" s="3">
        <v>44251.59652777778</v>
      </c>
      <c r="D47" s="2" t="s">
        <v>84</v>
      </c>
      <c r="E47" s="2" t="s">
        <v>31</v>
      </c>
      <c r="F47" s="3"/>
      <c r="G47" s="2" t="s">
        <v>85</v>
      </c>
      <c r="H47" s="3">
        <v>44252.556250000001</v>
      </c>
      <c r="I47" s="5">
        <v>-0.2</v>
      </c>
      <c r="J47" s="17">
        <v>-9.6600000000000005E-2</v>
      </c>
    </row>
    <row r="48" spans="1:10" x14ac:dyDescent="0.3">
      <c r="A48" s="2" t="s">
        <v>178</v>
      </c>
      <c r="B48" s="2" t="e" vm="37">
        <v>#VALUE!</v>
      </c>
      <c r="C48" s="3">
        <v>44251.48333333333</v>
      </c>
      <c r="D48" s="2" t="s">
        <v>82</v>
      </c>
      <c r="E48" s="2" t="s">
        <v>31</v>
      </c>
      <c r="F48" s="3"/>
      <c r="G48" s="2" t="s">
        <v>83</v>
      </c>
      <c r="H48" s="3">
        <v>44252.563194444447</v>
      </c>
      <c r="I48" s="5">
        <v>0.01</v>
      </c>
      <c r="J48" s="17">
        <v>0.16669999999999999</v>
      </c>
    </row>
    <row r="49" spans="1:10" x14ac:dyDescent="0.3">
      <c r="A49" s="18" t="s">
        <v>48</v>
      </c>
      <c r="B49" s="18" t="e" vm="38">
        <v>#VALUE!</v>
      </c>
      <c r="C49" s="3">
        <v>44252.532638888886</v>
      </c>
      <c r="D49" s="18" t="s">
        <v>87</v>
      </c>
      <c r="E49" s="18" t="s">
        <v>31</v>
      </c>
      <c r="F49" s="3"/>
      <c r="G49" s="18" t="s">
        <v>81</v>
      </c>
      <c r="H49" s="3">
        <v>44257.666666666664</v>
      </c>
      <c r="I49" s="5">
        <v>-0.15</v>
      </c>
      <c r="J49" s="17">
        <v>-1</v>
      </c>
    </row>
    <row r="50" spans="1:10" x14ac:dyDescent="0.3">
      <c r="A50" s="22" t="s">
        <v>11</v>
      </c>
      <c r="B50" s="22" t="e" vm="39">
        <v>#VALUE!</v>
      </c>
      <c r="C50" s="3">
        <v>44251.404861111114</v>
      </c>
      <c r="D50" s="22" t="s">
        <v>78</v>
      </c>
      <c r="E50" s="22" t="s">
        <v>31</v>
      </c>
      <c r="F50" s="3"/>
      <c r="G50" s="22" t="s">
        <v>79</v>
      </c>
      <c r="H50" s="3">
        <v>44264.547222222223</v>
      </c>
      <c r="I50" s="5">
        <v>1</v>
      </c>
      <c r="J50" s="17">
        <v>0.3831</v>
      </c>
    </row>
    <row r="51" spans="1:10" x14ac:dyDescent="0.3">
      <c r="A51" s="22" t="s">
        <v>88</v>
      </c>
      <c r="B51" s="22" t="e" vm="40">
        <v>#VALUE!</v>
      </c>
      <c r="C51" s="3">
        <v>44256.538888888892</v>
      </c>
      <c r="D51" s="22" t="s">
        <v>89</v>
      </c>
      <c r="E51" s="22" t="s">
        <v>31</v>
      </c>
      <c r="F51" s="3"/>
      <c r="G51" s="22" t="s">
        <v>91</v>
      </c>
      <c r="H51" s="3">
        <v>44265.644444444442</v>
      </c>
      <c r="I51" s="5">
        <v>-0.1089</v>
      </c>
      <c r="J51" s="17">
        <v>-0.19089999999999999</v>
      </c>
    </row>
    <row r="52" spans="1:10" x14ac:dyDescent="0.3">
      <c r="A52" s="22" t="s">
        <v>11</v>
      </c>
      <c r="B52" s="22" t="e" vm="41">
        <v>#VALUE!</v>
      </c>
      <c r="C52" s="3">
        <v>44265.631944444445</v>
      </c>
      <c r="D52" s="22" t="s">
        <v>93</v>
      </c>
      <c r="E52" s="22" t="s">
        <v>31</v>
      </c>
      <c r="F52" s="3"/>
      <c r="G52" s="22" t="s">
        <v>94</v>
      </c>
      <c r="H52" s="3">
        <v>44274.539583333331</v>
      </c>
      <c r="I52" s="5">
        <v>0.33</v>
      </c>
      <c r="J52" s="17">
        <v>0.17929999999999999</v>
      </c>
    </row>
    <row r="53" spans="1:10" x14ac:dyDescent="0.3">
      <c r="A53" s="22" t="s">
        <v>18</v>
      </c>
      <c r="B53" s="22" t="e" vm="42">
        <v>#VALUE!</v>
      </c>
      <c r="C53" s="3">
        <v>44249.511111111111</v>
      </c>
      <c r="D53" s="22" t="s">
        <v>72</v>
      </c>
      <c r="E53" s="22" t="s">
        <v>95</v>
      </c>
      <c r="F53" s="3">
        <v>44271.648611111108</v>
      </c>
      <c r="G53" s="22" t="s">
        <v>96</v>
      </c>
      <c r="H53" s="3">
        <v>44291.407638888886</v>
      </c>
      <c r="I53" s="5">
        <v>0</v>
      </c>
      <c r="J53" s="17">
        <v>0</v>
      </c>
    </row>
    <row r="54" spans="1:10" x14ac:dyDescent="0.3">
      <c r="A54" s="22" t="s">
        <v>11</v>
      </c>
      <c r="B54" s="22" t="e" vm="17">
        <v>#VALUE!</v>
      </c>
      <c r="C54" s="3">
        <v>44252.556944444441</v>
      </c>
      <c r="D54" s="22" t="s">
        <v>86</v>
      </c>
      <c r="E54" s="22" t="s">
        <v>92</v>
      </c>
      <c r="F54" s="3">
        <v>44264.561805555553</v>
      </c>
      <c r="G54" s="22" t="s">
        <v>90</v>
      </c>
      <c r="H54" s="3">
        <v>44301.45</v>
      </c>
      <c r="I54" s="5">
        <v>-1.82</v>
      </c>
      <c r="J54" s="17">
        <v>-0.7137</v>
      </c>
    </row>
    <row r="55" spans="1:10" x14ac:dyDescent="0.3">
      <c r="A55" s="23" t="s">
        <v>22</v>
      </c>
      <c r="B55" s="23" t="e" vm="43">
        <v>#VALUE!</v>
      </c>
      <c r="C55" s="3">
        <v>44305.545138888891</v>
      </c>
      <c r="D55" s="23" t="s">
        <v>103</v>
      </c>
      <c r="E55" s="23" t="s">
        <v>31</v>
      </c>
      <c r="F55" s="3"/>
      <c r="G55" s="23" t="s">
        <v>104</v>
      </c>
      <c r="H55" s="3">
        <v>44309.396527777775</v>
      </c>
      <c r="I55" s="5">
        <v>0.5</v>
      </c>
      <c r="J55" s="17">
        <v>0.15379999999999999</v>
      </c>
    </row>
    <row r="56" spans="1:10" x14ac:dyDescent="0.3">
      <c r="A56" s="23" t="s">
        <v>48</v>
      </c>
      <c r="B56" s="23" t="e" vm="44">
        <v>#VALUE!</v>
      </c>
      <c r="C56" s="3">
        <v>44279.661111111112</v>
      </c>
      <c r="D56" s="23" t="s">
        <v>101</v>
      </c>
      <c r="E56" s="23" t="s">
        <v>31</v>
      </c>
      <c r="F56" s="3"/>
      <c r="G56" s="23" t="s">
        <v>102</v>
      </c>
      <c r="H56" s="3">
        <v>44335.395833333336</v>
      </c>
      <c r="I56" s="5">
        <v>-0.91</v>
      </c>
      <c r="J56" s="17">
        <v>-1</v>
      </c>
    </row>
    <row r="57" spans="1:10" x14ac:dyDescent="0.3">
      <c r="A57" s="23" t="s">
        <v>11</v>
      </c>
      <c r="B57" s="23" t="e" vm="45">
        <v>#VALUE!</v>
      </c>
      <c r="C57" s="3">
        <v>44327.434027777781</v>
      </c>
      <c r="D57" s="23" t="s">
        <v>105</v>
      </c>
      <c r="E57" s="23" t="s">
        <v>31</v>
      </c>
      <c r="F57" s="3"/>
      <c r="G57" s="23" t="s">
        <v>94</v>
      </c>
      <c r="H57" s="3">
        <v>44336.614583333336</v>
      </c>
      <c r="I57" s="5">
        <v>0.3</v>
      </c>
      <c r="J57" s="17">
        <v>0.22389999999999999</v>
      </c>
    </row>
    <row r="58" spans="1:10" x14ac:dyDescent="0.3">
      <c r="A58" s="23" t="s">
        <v>11</v>
      </c>
      <c r="B58" s="23" t="e" vm="46">
        <v>#VALUE!</v>
      </c>
      <c r="C58" s="3">
        <v>44335.399305555555</v>
      </c>
      <c r="D58" s="23" t="s">
        <v>108</v>
      </c>
      <c r="E58" s="23" t="s">
        <v>31</v>
      </c>
      <c r="F58" s="3"/>
      <c r="G58" s="23" t="s">
        <v>109</v>
      </c>
      <c r="H58" s="3">
        <v>44337.395833333336</v>
      </c>
      <c r="I58" s="41">
        <v>0.18</v>
      </c>
      <c r="J58" s="17">
        <v>0.28120000000000001</v>
      </c>
    </row>
    <row r="59" spans="1:10" x14ac:dyDescent="0.3">
      <c r="A59" s="23" t="s">
        <v>18</v>
      </c>
      <c r="B59" s="23" t="e" vm="47">
        <v>#VALUE!</v>
      </c>
      <c r="C59" s="3">
        <v>44271.65</v>
      </c>
      <c r="D59" s="23" t="s">
        <v>97</v>
      </c>
      <c r="E59" s="23" t="s">
        <v>99</v>
      </c>
      <c r="F59" s="3" t="s">
        <v>100</v>
      </c>
      <c r="G59" s="28" t="s">
        <v>98</v>
      </c>
      <c r="H59" s="3">
        <v>44337.402083333334</v>
      </c>
      <c r="I59" s="5">
        <v>-2.2000000000000002</v>
      </c>
      <c r="J59" s="17">
        <v>-0.74070000000000003</v>
      </c>
    </row>
    <row r="60" spans="1:10" x14ac:dyDescent="0.3">
      <c r="A60" s="23" t="s">
        <v>48</v>
      </c>
      <c r="B60" s="23" t="e" vm="48">
        <v>#VALUE!</v>
      </c>
      <c r="C60" s="3">
        <v>44337.661805555559</v>
      </c>
      <c r="D60" s="23" t="s">
        <v>112</v>
      </c>
      <c r="E60" s="23" t="s">
        <v>31</v>
      </c>
      <c r="F60" s="3"/>
      <c r="G60" s="23" t="s">
        <v>113</v>
      </c>
      <c r="H60" s="3">
        <v>44340.397222222222</v>
      </c>
      <c r="I60" s="28">
        <v>0.04</v>
      </c>
      <c r="J60" s="17">
        <v>6.8900000000000003E-2</v>
      </c>
    </row>
    <row r="61" spans="1:10" x14ac:dyDescent="0.3">
      <c r="A61" s="23" t="s">
        <v>11</v>
      </c>
      <c r="B61" s="23" t="e" vm="41">
        <v>#VALUE!</v>
      </c>
      <c r="C61" s="3">
        <v>44335.406944444447</v>
      </c>
      <c r="D61" s="23" t="s">
        <v>110</v>
      </c>
      <c r="E61" s="23" t="s">
        <v>31</v>
      </c>
      <c r="F61" s="3"/>
      <c r="G61" s="28" t="s">
        <v>111</v>
      </c>
      <c r="H61" s="3">
        <v>44340.612500000003</v>
      </c>
      <c r="I61" s="41">
        <v>0.13</v>
      </c>
      <c r="J61" s="17">
        <v>0.18060000000000001</v>
      </c>
    </row>
    <row r="62" spans="1:10" x14ac:dyDescent="0.3">
      <c r="A62" s="23" t="s">
        <v>11</v>
      </c>
      <c r="B62" s="23" t="e" vm="49">
        <v>#VALUE!</v>
      </c>
      <c r="C62" s="3">
        <v>44340.614583333336</v>
      </c>
      <c r="D62" s="23" t="s">
        <v>118</v>
      </c>
      <c r="E62" s="23" t="s">
        <v>31</v>
      </c>
      <c r="F62" s="3"/>
      <c r="G62" s="23" t="s">
        <v>119</v>
      </c>
      <c r="H62" s="3">
        <v>44341.45</v>
      </c>
      <c r="I62" s="5">
        <v>0.4</v>
      </c>
      <c r="J62" s="17">
        <v>0.27029999999999998</v>
      </c>
    </row>
    <row r="63" spans="1:10" x14ac:dyDescent="0.3">
      <c r="A63" s="23" t="s">
        <v>11</v>
      </c>
      <c r="B63" s="23" t="e" vm="50">
        <v>#VALUE!</v>
      </c>
      <c r="C63" s="3">
        <v>44328.657638888886</v>
      </c>
      <c r="D63" s="23" t="s">
        <v>106</v>
      </c>
      <c r="E63" s="23" t="s">
        <v>31</v>
      </c>
      <c r="F63" s="3"/>
      <c r="G63" s="28" t="s">
        <v>107</v>
      </c>
      <c r="H63" s="3">
        <v>44342.414583333331</v>
      </c>
      <c r="I63" s="5">
        <v>0.17</v>
      </c>
      <c r="J63" s="17">
        <v>0.2576</v>
      </c>
    </row>
    <row r="64" spans="1:10" x14ac:dyDescent="0.3">
      <c r="A64" s="23" t="s">
        <v>123</v>
      </c>
      <c r="B64" s="23" t="e" vm="41">
        <v>#VALUE!</v>
      </c>
      <c r="C64" s="3">
        <v>44354.559027777781</v>
      </c>
      <c r="D64" s="23" t="s">
        <v>124</v>
      </c>
      <c r="E64" s="23" t="s">
        <v>31</v>
      </c>
      <c r="F64" s="3"/>
      <c r="G64" s="23" t="s">
        <v>125</v>
      </c>
      <c r="H64" s="3">
        <v>44355.424305555556</v>
      </c>
      <c r="I64" s="30">
        <v>0.24</v>
      </c>
      <c r="J64" s="17">
        <v>0.24</v>
      </c>
    </row>
    <row r="65" spans="1:10" x14ac:dyDescent="0.3">
      <c r="A65" s="23" t="s">
        <v>22</v>
      </c>
      <c r="B65" s="23" t="s">
        <v>114</v>
      </c>
      <c r="C65" s="3">
        <v>44340.411805555559</v>
      </c>
      <c r="D65" s="23" t="s">
        <v>115</v>
      </c>
      <c r="E65" s="23" t="s">
        <v>116</v>
      </c>
      <c r="F65" s="3">
        <v>44349.401388888888</v>
      </c>
      <c r="G65" s="23" t="s">
        <v>117</v>
      </c>
      <c r="H65" s="3">
        <v>44357.552083333336</v>
      </c>
      <c r="I65" s="28">
        <v>0.06</v>
      </c>
      <c r="J65" s="17">
        <v>3.4700000000000002E-2</v>
      </c>
    </row>
    <row r="66" spans="1:10" x14ac:dyDescent="0.3">
      <c r="A66" s="23" t="s">
        <v>11</v>
      </c>
      <c r="B66" s="23" t="e" vm="51">
        <v>#VALUE!</v>
      </c>
      <c r="C66" s="3">
        <v>44354.563194444447</v>
      </c>
      <c r="D66" s="23" t="s">
        <v>126</v>
      </c>
      <c r="E66" s="23" t="s">
        <v>31</v>
      </c>
      <c r="F66" s="3"/>
      <c r="G66" s="23" t="s">
        <v>127</v>
      </c>
      <c r="H66" s="3">
        <v>44357.625</v>
      </c>
      <c r="I66" s="28">
        <v>0.21</v>
      </c>
      <c r="J66" s="17">
        <v>0.40379999999999999</v>
      </c>
    </row>
    <row r="67" spans="1:10" x14ac:dyDescent="0.3">
      <c r="A67" s="23" t="s">
        <v>123</v>
      </c>
      <c r="B67" s="23" t="e" vm="52">
        <v>#VALUE!</v>
      </c>
      <c r="C67" s="3">
        <v>44354.568055555559</v>
      </c>
      <c r="D67" s="23" t="s">
        <v>128</v>
      </c>
      <c r="E67" s="23" t="s">
        <v>31</v>
      </c>
      <c r="F67" s="3"/>
      <c r="G67" s="23" t="s">
        <v>129</v>
      </c>
      <c r="H67" s="3">
        <v>44358.425694444442</v>
      </c>
      <c r="I67" s="28">
        <v>-0.28000000000000003</v>
      </c>
      <c r="J67" s="17">
        <v>-0.23730000000000001</v>
      </c>
    </row>
    <row r="68" spans="1:10" x14ac:dyDescent="0.3">
      <c r="A68" s="23" t="s">
        <v>120</v>
      </c>
      <c r="B68" s="23" t="e" vm="22">
        <v>#VALUE!</v>
      </c>
      <c r="C68" s="3">
        <v>44342.661111111112</v>
      </c>
      <c r="D68" s="23" t="s">
        <v>121</v>
      </c>
      <c r="E68" s="23" t="s">
        <v>31</v>
      </c>
      <c r="F68" s="3"/>
      <c r="G68" s="23" t="s">
        <v>122</v>
      </c>
      <c r="H68" s="3">
        <v>44361.401388888888</v>
      </c>
      <c r="I68" s="41">
        <v>-0.5</v>
      </c>
      <c r="J68" s="17">
        <v>-1</v>
      </c>
    </row>
    <row r="69" spans="1:10" x14ac:dyDescent="0.3">
      <c r="A69" s="23" t="s">
        <v>24</v>
      </c>
      <c r="B69" s="23" t="e" vm="53">
        <v>#VALUE!</v>
      </c>
      <c r="C69" s="3">
        <v>44358.55</v>
      </c>
      <c r="D69" s="23" t="s">
        <v>145</v>
      </c>
      <c r="E69" s="23" t="s">
        <v>31</v>
      </c>
      <c r="F69" s="3"/>
      <c r="G69" s="23" t="s">
        <v>146</v>
      </c>
      <c r="H69" s="3">
        <v>44363.583333333336</v>
      </c>
      <c r="I69" s="5">
        <v>0.16</v>
      </c>
      <c r="J69" s="17">
        <v>5.015E-2</v>
      </c>
    </row>
    <row r="70" spans="1:10" x14ac:dyDescent="0.3">
      <c r="A70" s="25" t="s">
        <v>11</v>
      </c>
      <c r="B70" s="25" t="e" vm="54">
        <v>#VALUE!</v>
      </c>
      <c r="C70" s="3">
        <v>44363.597222222219</v>
      </c>
      <c r="D70" s="25" t="s">
        <v>147</v>
      </c>
      <c r="E70" s="25" t="s">
        <v>31</v>
      </c>
      <c r="F70" s="3"/>
      <c r="G70" s="25" t="s">
        <v>148</v>
      </c>
      <c r="H70" s="3">
        <v>44376.645833333336</v>
      </c>
      <c r="I70" s="5">
        <v>-0.32</v>
      </c>
      <c r="J70" s="17">
        <v>-0.25190000000000001</v>
      </c>
    </row>
    <row r="71" spans="1:10" x14ac:dyDescent="0.3">
      <c r="A71" s="28" t="s">
        <v>24</v>
      </c>
      <c r="B71" s="28" t="e" vm="55">
        <v>#VALUE!</v>
      </c>
      <c r="C71" s="3">
        <v>44376.664583333331</v>
      </c>
      <c r="D71" s="28" t="s">
        <v>152</v>
      </c>
      <c r="E71" s="28" t="s">
        <v>31</v>
      </c>
      <c r="F71" s="3"/>
      <c r="G71" s="28" t="s">
        <v>153</v>
      </c>
      <c r="H71" s="3">
        <v>44377.42083333333</v>
      </c>
      <c r="I71" s="5">
        <v>0.08</v>
      </c>
      <c r="J71" s="17">
        <v>8.0810000000000007E-2</v>
      </c>
    </row>
    <row r="72" spans="1:10" x14ac:dyDescent="0.3">
      <c r="A72" s="28" t="s">
        <v>11</v>
      </c>
      <c r="B72" s="28" t="e" vm="56">
        <v>#VALUE!</v>
      </c>
      <c r="C72" s="3">
        <v>44363.62777777778</v>
      </c>
      <c r="D72" s="28" t="s">
        <v>151</v>
      </c>
      <c r="E72" s="28" t="s">
        <v>31</v>
      </c>
      <c r="F72" s="3"/>
      <c r="G72" s="28" t="s">
        <v>154</v>
      </c>
      <c r="H72" s="3">
        <v>44383.42291666667</v>
      </c>
      <c r="I72" s="5">
        <v>0.02</v>
      </c>
      <c r="J72" s="17">
        <v>1.9400000000000001E-2</v>
      </c>
    </row>
    <row r="73" spans="1:10" x14ac:dyDescent="0.3">
      <c r="A73" s="28" t="s">
        <v>11</v>
      </c>
      <c r="B73" s="28" t="e" vm="57">
        <v>#VALUE!</v>
      </c>
      <c r="C73" s="3">
        <v>44396.42083333333</v>
      </c>
      <c r="D73" s="28" t="s">
        <v>186</v>
      </c>
      <c r="E73" s="28" t="s">
        <v>31</v>
      </c>
      <c r="F73" s="3"/>
      <c r="G73" s="28" t="s">
        <v>29</v>
      </c>
      <c r="H73" s="3">
        <v>44398.429861111108</v>
      </c>
      <c r="I73" s="5">
        <v>0.2</v>
      </c>
      <c r="J73" s="17">
        <v>0.33329999999999999</v>
      </c>
    </row>
    <row r="74" spans="1:10" x14ac:dyDescent="0.3">
      <c r="A74" s="28" t="s">
        <v>11</v>
      </c>
      <c r="B74" s="28" t="e" vm="49">
        <v>#VALUE!</v>
      </c>
      <c r="C74" s="3">
        <v>44365.402777777781</v>
      </c>
      <c r="D74" s="28" t="s">
        <v>149</v>
      </c>
      <c r="E74" s="28" t="s">
        <v>31</v>
      </c>
      <c r="F74" s="3"/>
      <c r="G74" s="28" t="s">
        <v>150</v>
      </c>
      <c r="H74" s="3">
        <v>44398.432638888888</v>
      </c>
      <c r="I74" s="5">
        <v>0.02</v>
      </c>
      <c r="J74" s="17">
        <v>1.4800000000000001E-2</v>
      </c>
    </row>
    <row r="75" spans="1:10" x14ac:dyDescent="0.3">
      <c r="A75" s="28" t="s">
        <v>24</v>
      </c>
      <c r="B75" s="28" t="e" vm="58">
        <v>#VALUE!</v>
      </c>
      <c r="C75" s="3">
        <v>44398.443055555559</v>
      </c>
      <c r="D75" s="28" t="s">
        <v>187</v>
      </c>
      <c r="E75" s="28" t="s">
        <v>31</v>
      </c>
      <c r="F75" s="3"/>
      <c r="G75" s="28" t="s">
        <v>188</v>
      </c>
      <c r="H75" s="3">
        <v>44403.405555555553</v>
      </c>
      <c r="I75" s="5">
        <v>0.08</v>
      </c>
      <c r="J75" s="17">
        <v>0.15090000000000001</v>
      </c>
    </row>
    <row r="76" spans="1:10" x14ac:dyDescent="0.3">
      <c r="A76" s="28" t="s">
        <v>24</v>
      </c>
      <c r="B76" s="28" t="e" vm="43">
        <v>#VALUE!</v>
      </c>
      <c r="C76" s="3">
        <v>44400.646527777775</v>
      </c>
      <c r="D76" s="28" t="s">
        <v>200</v>
      </c>
      <c r="E76" s="28" t="s">
        <v>31</v>
      </c>
      <c r="F76" s="3"/>
      <c r="G76" s="28" t="s">
        <v>201</v>
      </c>
      <c r="H76" s="3">
        <v>44403.411805555559</v>
      </c>
      <c r="I76" s="5">
        <v>0.14000000000000001</v>
      </c>
      <c r="J76" s="17">
        <v>9.8500000000000004E-2</v>
      </c>
    </row>
    <row r="77" spans="1:10" x14ac:dyDescent="0.3">
      <c r="A77" s="30" t="s">
        <v>22</v>
      </c>
      <c r="B77" s="30" t="e" vm="59">
        <v>#VALUE!</v>
      </c>
      <c r="C77" s="3">
        <v>44378.395833333336</v>
      </c>
      <c r="D77" s="30" t="s">
        <v>155</v>
      </c>
      <c r="E77" s="30" t="s">
        <v>204</v>
      </c>
      <c r="F77" s="3">
        <v>44404.431944444441</v>
      </c>
      <c r="G77" s="30" t="s">
        <v>156</v>
      </c>
      <c r="H77" s="3">
        <v>44405.570138888892</v>
      </c>
      <c r="I77" s="5">
        <v>0.2</v>
      </c>
      <c r="J77" s="17">
        <v>0.1333</v>
      </c>
    </row>
    <row r="78" spans="1:10" x14ac:dyDescent="0.3">
      <c r="A78" s="36" t="s">
        <v>11</v>
      </c>
      <c r="B78" s="36" t="e" vm="49">
        <v>#VALUE!</v>
      </c>
      <c r="C78" s="3">
        <v>44403.489583333336</v>
      </c>
      <c r="D78" s="36" t="s">
        <v>202</v>
      </c>
      <c r="E78" s="36" t="s">
        <v>31</v>
      </c>
      <c r="F78" s="3"/>
      <c r="G78" s="36" t="s">
        <v>203</v>
      </c>
      <c r="H78" s="3">
        <v>44417.500694444447</v>
      </c>
      <c r="I78" s="5">
        <v>0.5</v>
      </c>
      <c r="J78" s="17">
        <v>0.3448</v>
      </c>
    </row>
    <row r="79" spans="1:10" x14ac:dyDescent="0.3">
      <c r="A79" s="41" t="s">
        <v>24</v>
      </c>
      <c r="B79" s="41" t="e" vm="60">
        <v>#VALUE!</v>
      </c>
      <c r="C79" s="3">
        <v>44406.647222222222</v>
      </c>
      <c r="D79" s="41" t="s">
        <v>219</v>
      </c>
      <c r="E79" s="41" t="s">
        <v>224</v>
      </c>
      <c r="F79" s="3">
        <v>44412.412499999999</v>
      </c>
      <c r="G79" s="41" t="s">
        <v>220</v>
      </c>
      <c r="H79" s="3">
        <v>44421.427083333336</v>
      </c>
      <c r="I79" s="5">
        <v>-0.77</v>
      </c>
      <c r="J79" s="17">
        <v>-0.61599999999999999</v>
      </c>
    </row>
    <row r="80" spans="1:10" x14ac:dyDescent="0.3">
      <c r="A80" s="55" t="s">
        <v>11</v>
      </c>
      <c r="B80" s="55" t="e" vm="61">
        <v>#VALUE!</v>
      </c>
      <c r="C80" s="3">
        <v>44431.402777777781</v>
      </c>
      <c r="D80" s="55" t="s">
        <v>225</v>
      </c>
      <c r="E80" s="55" t="s">
        <v>31</v>
      </c>
      <c r="F80" s="3"/>
      <c r="G80" s="55" t="s">
        <v>185</v>
      </c>
      <c r="H80" s="3">
        <v>44431.664583333331</v>
      </c>
      <c r="I80" s="5">
        <v>0.21</v>
      </c>
      <c r="J80" s="17">
        <v>0.1273</v>
      </c>
    </row>
    <row r="81" spans="1:10" x14ac:dyDescent="0.3">
      <c r="A81" s="56" t="s">
        <v>11</v>
      </c>
      <c r="B81" s="56" t="e" vm="62">
        <v>#VALUE!</v>
      </c>
      <c r="C81" s="3">
        <v>44434.412499999999</v>
      </c>
      <c r="D81" s="56" t="s">
        <v>228</v>
      </c>
      <c r="E81" s="56" t="s">
        <v>31</v>
      </c>
      <c r="F81" s="3"/>
      <c r="G81" s="56" t="s">
        <v>109</v>
      </c>
      <c r="H81" s="3">
        <v>44434.580555555556</v>
      </c>
      <c r="I81" s="5">
        <v>0.08</v>
      </c>
      <c r="J81" s="17">
        <v>0.125</v>
      </c>
    </row>
    <row r="82" spans="1:10" x14ac:dyDescent="0.3">
      <c r="A82" s="56" t="s">
        <v>22</v>
      </c>
      <c r="B82" s="56" t="e" vm="63">
        <v>#VALUE!</v>
      </c>
      <c r="C82" s="3">
        <v>44439.396527777775</v>
      </c>
      <c r="D82" s="56" t="s">
        <v>231</v>
      </c>
      <c r="E82" s="56" t="s">
        <v>31</v>
      </c>
      <c r="F82" s="3"/>
      <c r="G82" s="56" t="s">
        <v>232</v>
      </c>
      <c r="H82" s="3">
        <v>44447.515277777777</v>
      </c>
      <c r="I82" s="5">
        <v>0.24</v>
      </c>
      <c r="J82" s="17">
        <v>0.186</v>
      </c>
    </row>
    <row r="83" spans="1:10" x14ac:dyDescent="0.3">
      <c r="A83" s="56" t="s">
        <v>221</v>
      </c>
      <c r="B83" s="56" t="e" vm="64">
        <v>#VALUE!</v>
      </c>
      <c r="C83" s="3">
        <v>44417.506944444445</v>
      </c>
      <c r="D83" s="56" t="s">
        <v>222</v>
      </c>
      <c r="E83" s="56" t="s">
        <v>31</v>
      </c>
      <c r="F83" s="3"/>
      <c r="G83" s="56" t="s">
        <v>223</v>
      </c>
      <c r="H83" s="3">
        <v>44427.529861111114</v>
      </c>
      <c r="I83" s="5">
        <v>-0.98</v>
      </c>
      <c r="J83" s="17">
        <v>-0.49</v>
      </c>
    </row>
    <row r="84" spans="1:10" x14ac:dyDescent="0.3">
      <c r="A84" s="56" t="s">
        <v>22</v>
      </c>
      <c r="B84" s="56" t="e" vm="65">
        <v>#VALUE!</v>
      </c>
      <c r="C84" s="3">
        <v>44432.42291666667</v>
      </c>
      <c r="D84" s="56" t="s">
        <v>226</v>
      </c>
      <c r="E84" s="56" t="s">
        <v>31</v>
      </c>
      <c r="F84" s="3"/>
      <c r="G84" s="56" t="s">
        <v>227</v>
      </c>
      <c r="H84" s="3"/>
      <c r="I84" s="5"/>
    </row>
    <row r="85" spans="1:10" x14ac:dyDescent="0.3">
      <c r="A85" s="56" t="s">
        <v>22</v>
      </c>
      <c r="B85" s="56" t="e" vm="66">
        <v>#VALUE!</v>
      </c>
      <c r="C85" s="3">
        <v>44434.433333333334</v>
      </c>
      <c r="D85" s="56" t="s">
        <v>229</v>
      </c>
      <c r="E85" s="56" t="s">
        <v>31</v>
      </c>
      <c r="F85" s="3"/>
      <c r="G85" s="56" t="s">
        <v>230</v>
      </c>
      <c r="H85" s="3">
        <v>44467.545833275464</v>
      </c>
      <c r="I85" s="5">
        <v>0.19</v>
      </c>
      <c r="J85" s="17">
        <v>0.30640000000000001</v>
      </c>
    </row>
    <row r="86" spans="1:10" x14ac:dyDescent="0.3">
      <c r="A86" s="57" t="s">
        <v>11</v>
      </c>
      <c r="B86" s="57" t="e" vm="67">
        <v>#VALUE!</v>
      </c>
      <c r="C86" s="3">
        <v>44434.412499999999</v>
      </c>
      <c r="D86" s="57" t="s">
        <v>228</v>
      </c>
      <c r="E86" s="57" t="s">
        <v>31</v>
      </c>
      <c r="F86" s="3"/>
      <c r="G86" s="57" t="s">
        <v>109</v>
      </c>
      <c r="H86" s="3">
        <v>44434.580555555556</v>
      </c>
      <c r="I86" s="5">
        <v>0.08</v>
      </c>
      <c r="J86" s="17">
        <v>0.125</v>
      </c>
    </row>
    <row r="87" spans="1:10" x14ac:dyDescent="0.3">
      <c r="A87" s="57" t="s">
        <v>11</v>
      </c>
      <c r="B87" s="57" t="e" vm="68">
        <v>#VALUE!</v>
      </c>
      <c r="C87" s="3">
        <v>44455.398611111108</v>
      </c>
      <c r="D87" s="57" t="s">
        <v>233</v>
      </c>
      <c r="E87" s="57"/>
      <c r="F87" s="3"/>
      <c r="G87" s="57" t="s">
        <v>122</v>
      </c>
      <c r="H87" s="3"/>
      <c r="I87" s="5"/>
    </row>
    <row r="88" spans="1:10" x14ac:dyDescent="0.3">
      <c r="A88" s="57" t="s">
        <v>11</v>
      </c>
      <c r="B88" s="57" t="e" vm="69">
        <v>#VALUE!</v>
      </c>
      <c r="C88" s="3">
        <v>44459.511111111111</v>
      </c>
      <c r="D88" s="57" t="s">
        <v>234</v>
      </c>
      <c r="E88" s="57" t="s">
        <v>31</v>
      </c>
      <c r="F88" s="3"/>
      <c r="G88" s="57" t="s">
        <v>235</v>
      </c>
      <c r="H88" s="3">
        <v>44462.460416666669</v>
      </c>
      <c r="I88" s="5">
        <v>0.18</v>
      </c>
      <c r="J88" s="17">
        <v>0.28570000000000001</v>
      </c>
    </row>
    <row r="89" spans="1:10" x14ac:dyDescent="0.3">
      <c r="A89" s="57" t="s">
        <v>11</v>
      </c>
      <c r="B89" s="57" t="e" vm="70">
        <v>#VALUE!</v>
      </c>
      <c r="C89" s="3">
        <v>44460.436805555553</v>
      </c>
      <c r="D89" s="57" t="s">
        <v>236</v>
      </c>
      <c r="E89" s="57" t="s">
        <v>31</v>
      </c>
      <c r="F89" s="3"/>
      <c r="G89" s="57" t="s">
        <v>237</v>
      </c>
      <c r="H89" s="3">
        <v>44466.557638888888</v>
      </c>
      <c r="I89" s="5">
        <v>0.21</v>
      </c>
      <c r="J89" s="17">
        <v>0.36199999999999999</v>
      </c>
    </row>
    <row r="90" spans="1:10" x14ac:dyDescent="0.3">
      <c r="A90" s="57" t="s">
        <v>11</v>
      </c>
      <c r="B90" s="57" t="e" vm="71">
        <v>#VALUE!</v>
      </c>
      <c r="C90" s="3">
        <v>44469.399305555555</v>
      </c>
      <c r="D90" s="57" t="s">
        <v>238</v>
      </c>
      <c r="E90" s="57" t="s">
        <v>31</v>
      </c>
      <c r="F90" s="3"/>
      <c r="G90" s="57" t="s">
        <v>127</v>
      </c>
      <c r="H90" s="3">
        <v>44469.55</v>
      </c>
      <c r="I90" s="5">
        <v>0.24</v>
      </c>
      <c r="J90" s="17">
        <v>0.46150000000000002</v>
      </c>
    </row>
    <row r="91" spans="1:10" x14ac:dyDescent="0.3">
      <c r="A91" s="57" t="s">
        <v>21</v>
      </c>
      <c r="B91" s="57"/>
      <c r="C91" s="57"/>
      <c r="D91" s="57"/>
      <c r="E91" s="57"/>
      <c r="F91" s="57"/>
      <c r="G91" s="57"/>
      <c r="H91" s="57"/>
      <c r="I91" s="5">
        <f>SUBTOTAL(109,Trade_data[P/L ])</f>
        <v>3.2710999999999997</v>
      </c>
      <c r="J91" s="24">
        <f>SUBTOTAL(107,Trade_data[ROI])</f>
        <v>0.38589905665826196</v>
      </c>
    </row>
  </sheetData>
  <mergeCells count="2">
    <mergeCell ref="K15:L15"/>
    <mergeCell ref="K16:L16"/>
  </mergeCells>
  <conditionalFormatting sqref="I2:I91">
    <cfRule type="cellIs" dxfId="44" priority="6" operator="greaterThan">
      <formula>0</formula>
    </cfRule>
  </conditionalFormatting>
  <conditionalFormatting sqref="I1:I1048576">
    <cfRule type="cellIs" dxfId="43" priority="5" operator="lessThan">
      <formula>0</formula>
    </cfRule>
  </conditionalFormatting>
  <conditionalFormatting sqref="J2:J1048576">
    <cfRule type="cellIs" dxfId="42" priority="1" operator="lessThan">
      <formula>0</formula>
    </cfRule>
    <cfRule type="cellIs" dxfId="41" priority="2" operator="greaterThan">
      <formula>0</formula>
    </cfRule>
  </conditionalFormatting>
  <pageMargins left="0.7" right="0.7" top="0.75" bottom="0.75" header="0.3" footer="0.3"/>
  <pageSetup scale="49" fitToHeight="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6987F-7BEB-4DE3-8DAE-0C941447A7E8}">
  <sheetPr codeName="Sheet2"/>
  <dimension ref="A1:L126"/>
  <sheetViews>
    <sheetView workbookViewId="0">
      <selection activeCell="G3" sqref="G3"/>
    </sheetView>
  </sheetViews>
  <sheetFormatPr defaultRowHeight="14.4" x14ac:dyDescent="0.3"/>
  <cols>
    <col min="1" max="2" width="20.44140625" customWidth="1"/>
    <col min="5" max="5" width="13.5546875" customWidth="1"/>
    <col min="6" max="6" width="18.33203125" style="9" customWidth="1"/>
    <col min="7" max="7" width="23.5546875" style="9" customWidth="1"/>
    <col min="8" max="8" width="15.77734375" style="9" customWidth="1"/>
    <col min="9" max="9" width="15.21875" style="9" customWidth="1"/>
    <col min="10" max="10" width="24.109375" style="39" customWidth="1"/>
    <col min="11" max="11" width="19.6640625" style="39" customWidth="1"/>
    <col min="12" max="12" width="11.109375" style="37" customWidth="1"/>
  </cols>
  <sheetData>
    <row r="1" spans="1:11" ht="15" thickBot="1" x14ac:dyDescent="0.35">
      <c r="A1" s="63" t="s">
        <v>193</v>
      </c>
      <c r="B1" s="63"/>
      <c r="D1" s="8"/>
      <c r="J1" s="73" t="s">
        <v>240</v>
      </c>
      <c r="K1" s="73"/>
    </row>
    <row r="2" spans="1:11" ht="15" thickTop="1" x14ac:dyDescent="0.3">
      <c r="A2" s="12" t="s">
        <v>130</v>
      </c>
      <c r="B2" s="13">
        <v>0.68292683362960815</v>
      </c>
      <c r="J2" s="52" t="s">
        <v>210</v>
      </c>
      <c r="K2" s="49">
        <v>327.11</v>
      </c>
    </row>
    <row r="3" spans="1:11" x14ac:dyDescent="0.3">
      <c r="A3" s="10" t="s">
        <v>135</v>
      </c>
      <c r="B3" s="9">
        <v>33.678573608398438</v>
      </c>
      <c r="F3" s="35"/>
      <c r="G3" s="54"/>
      <c r="J3" s="40" t="s">
        <v>211</v>
      </c>
      <c r="K3" s="46">
        <v>1572.02</v>
      </c>
    </row>
    <row r="4" spans="1:11" x14ac:dyDescent="0.3">
      <c r="A4" s="12" t="s">
        <v>131</v>
      </c>
      <c r="B4" s="13">
        <v>0.29268291592597961</v>
      </c>
      <c r="J4" s="52" t="s">
        <v>214</v>
      </c>
      <c r="K4" s="48">
        <v>0.24216611484395845</v>
      </c>
    </row>
    <row r="5" spans="1:11" x14ac:dyDescent="0.3">
      <c r="A5" s="10" t="s">
        <v>136</v>
      </c>
      <c r="B5" s="9">
        <v>-64.953742980957031</v>
      </c>
      <c r="J5" s="40" t="s">
        <v>216</v>
      </c>
      <c r="K5" s="39">
        <v>1.456887193055831E-2</v>
      </c>
    </row>
    <row r="6" spans="1:11" ht="15" thickBot="1" x14ac:dyDescent="0.35">
      <c r="A6" s="12" t="s">
        <v>144</v>
      </c>
      <c r="B6" s="14">
        <v>3.9891463414634143</v>
      </c>
      <c r="F6" s="70" t="s">
        <v>189</v>
      </c>
      <c r="G6" s="71"/>
      <c r="H6" s="72"/>
      <c r="J6" s="53" t="s">
        <v>217</v>
      </c>
      <c r="K6" s="50">
        <v>0.1199869064828985</v>
      </c>
    </row>
    <row r="7" spans="1:11" x14ac:dyDescent="0.3">
      <c r="A7" s="10" t="s">
        <v>134</v>
      </c>
      <c r="B7" s="9">
        <v>61.674140930175781</v>
      </c>
      <c r="F7" s="64" t="s">
        <v>218</v>
      </c>
      <c r="G7" s="65"/>
      <c r="H7" s="66"/>
      <c r="J7" s="40" t="s">
        <v>212</v>
      </c>
      <c r="K7" s="39">
        <v>0.20808259436902854</v>
      </c>
    </row>
    <row r="8" spans="1:11" x14ac:dyDescent="0.3">
      <c r="A8" s="15" t="s">
        <v>132</v>
      </c>
      <c r="B8" s="14">
        <v>125</v>
      </c>
      <c r="F8" s="64"/>
      <c r="G8" s="65"/>
      <c r="H8" s="66"/>
      <c r="J8" s="52" t="s">
        <v>215</v>
      </c>
      <c r="K8" s="51">
        <v>82</v>
      </c>
    </row>
    <row r="9" spans="1:11" x14ac:dyDescent="0.3">
      <c r="A9" s="11" t="s">
        <v>133</v>
      </c>
      <c r="B9" s="9">
        <v>-220</v>
      </c>
      <c r="F9" s="64"/>
      <c r="G9" s="65"/>
      <c r="H9" s="66"/>
      <c r="J9" s="40" t="s">
        <v>213</v>
      </c>
      <c r="K9" s="47">
        <v>0.10405750896665142</v>
      </c>
    </row>
    <row r="10" spans="1:11" x14ac:dyDescent="0.3">
      <c r="F10" s="64"/>
      <c r="G10" s="65"/>
      <c r="H10" s="66"/>
      <c r="J10" s="52" t="s">
        <v>207</v>
      </c>
      <c r="K10" s="51">
        <v>10</v>
      </c>
    </row>
    <row r="11" spans="1:11" x14ac:dyDescent="0.3">
      <c r="A11" s="15" t="s">
        <v>138</v>
      </c>
      <c r="B11" s="19">
        <v>0.21699430048465729</v>
      </c>
      <c r="F11" s="64"/>
      <c r="G11" s="65"/>
      <c r="H11" s="66"/>
      <c r="J11" s="40" t="s">
        <v>208</v>
      </c>
      <c r="K11" s="44">
        <v>9</v>
      </c>
    </row>
    <row r="12" spans="1:11" x14ac:dyDescent="0.3">
      <c r="A12" s="11" t="s">
        <v>139</v>
      </c>
      <c r="B12" s="8">
        <v>-0.48182287812232971</v>
      </c>
      <c r="F12" s="64"/>
      <c r="G12" s="65"/>
      <c r="H12" s="66"/>
      <c r="J12" s="52" t="s">
        <v>209</v>
      </c>
      <c r="K12" s="51">
        <v>26</v>
      </c>
    </row>
    <row r="13" spans="1:11" x14ac:dyDescent="0.3">
      <c r="A13" s="15" t="s">
        <v>140</v>
      </c>
      <c r="B13" s="13">
        <v>0.38589905665826196</v>
      </c>
      <c r="F13" s="64"/>
      <c r="G13" s="65"/>
      <c r="H13" s="66"/>
    </row>
    <row r="14" spans="1:11" x14ac:dyDescent="0.3">
      <c r="A14" s="11" t="s">
        <v>141</v>
      </c>
      <c r="B14" s="8">
        <v>7.1699073170731695E-3</v>
      </c>
      <c r="F14" s="67"/>
      <c r="G14" s="68"/>
      <c r="H14" s="69"/>
    </row>
    <row r="15" spans="1:11" x14ac:dyDescent="0.3">
      <c r="A15" s="11"/>
    </row>
    <row r="16" spans="1:11" x14ac:dyDescent="0.3">
      <c r="A16" s="20" t="s">
        <v>142</v>
      </c>
      <c r="B16" s="21">
        <f>(B2*B3)+(B4*B5)</f>
        <v>3.9891507395720964</v>
      </c>
    </row>
    <row r="17" spans="1:12" x14ac:dyDescent="0.3">
      <c r="A17" s="11" t="s">
        <v>143</v>
      </c>
      <c r="B17" s="8">
        <f>(B2*B11)+(B4*B12)</f>
        <v>7.169905616967398E-3</v>
      </c>
    </row>
    <row r="19" spans="1:12" x14ac:dyDescent="0.3">
      <c r="A19" s="11" t="s">
        <v>157</v>
      </c>
      <c r="B19">
        <v>82</v>
      </c>
    </row>
    <row r="20" spans="1:12" x14ac:dyDescent="0.3">
      <c r="E20" s="61" t="s">
        <v>198</v>
      </c>
      <c r="F20" s="62"/>
      <c r="G20" s="62"/>
      <c r="H20" s="62"/>
      <c r="I20" s="62"/>
      <c r="J20" s="62"/>
      <c r="K20" s="62"/>
      <c r="L20" s="62"/>
    </row>
    <row r="21" spans="1:12" x14ac:dyDescent="0.3">
      <c r="E21" s="11" t="s">
        <v>199</v>
      </c>
      <c r="F21" s="35" t="s">
        <v>191</v>
      </c>
      <c r="G21" s="35" t="s">
        <v>194</v>
      </c>
      <c r="H21" s="35" t="s">
        <v>192</v>
      </c>
      <c r="I21" s="35" t="s">
        <v>196</v>
      </c>
      <c r="J21" s="40" t="s">
        <v>195</v>
      </c>
      <c r="K21" s="40" t="s">
        <v>205</v>
      </c>
      <c r="L21" s="38" t="s">
        <v>197</v>
      </c>
    </row>
    <row r="22" spans="1:12" x14ac:dyDescent="0.3">
      <c r="E22" s="33">
        <v>43678</v>
      </c>
      <c r="F22" s="9">
        <v>500</v>
      </c>
      <c r="G22" s="9">
        <v>0</v>
      </c>
      <c r="H22" s="34">
        <v>501</v>
      </c>
      <c r="I22" s="9">
        <v>1</v>
      </c>
      <c r="J22" s="39">
        <v>2E-3</v>
      </c>
      <c r="K22" s="39">
        <v>2.0000000000000018E-3</v>
      </c>
      <c r="L22" s="37">
        <v>6</v>
      </c>
    </row>
    <row r="23" spans="1:12" s="33" customFormat="1" x14ac:dyDescent="0.3">
      <c r="E23" s="33">
        <v>43709</v>
      </c>
      <c r="F23" s="34">
        <v>501</v>
      </c>
      <c r="G23" s="9">
        <v>0</v>
      </c>
      <c r="H23" s="34">
        <v>511</v>
      </c>
      <c r="I23" s="9">
        <v>10</v>
      </c>
      <c r="J23" s="39">
        <v>1.9960079840319361E-2</v>
      </c>
      <c r="K23" s="39">
        <v>1.9960079840319445E-2</v>
      </c>
      <c r="L23" s="37">
        <v>1</v>
      </c>
    </row>
    <row r="24" spans="1:12" x14ac:dyDescent="0.3">
      <c r="E24" s="33">
        <v>43739</v>
      </c>
      <c r="F24" s="34">
        <v>511</v>
      </c>
      <c r="G24" s="9">
        <v>0</v>
      </c>
      <c r="H24" s="34">
        <v>450</v>
      </c>
      <c r="I24" s="9">
        <v>-61</v>
      </c>
      <c r="J24" s="39">
        <v>-0.11937377690802348</v>
      </c>
      <c r="K24" s="39">
        <v>-0.11937377690802353</v>
      </c>
      <c r="L24" s="37">
        <v>2</v>
      </c>
    </row>
    <row r="25" spans="1:12" x14ac:dyDescent="0.3">
      <c r="E25" s="33">
        <v>43770</v>
      </c>
      <c r="F25" s="34">
        <v>450</v>
      </c>
      <c r="G25" s="9">
        <v>0</v>
      </c>
      <c r="H25" s="34">
        <v>392</v>
      </c>
      <c r="I25" s="9">
        <v>-58</v>
      </c>
      <c r="J25" s="39">
        <v>-0.12888888888888889</v>
      </c>
      <c r="K25" s="39">
        <v>-0.12888888888888894</v>
      </c>
      <c r="L25" s="37">
        <v>1</v>
      </c>
    </row>
    <row r="26" spans="1:12" x14ac:dyDescent="0.3">
      <c r="E26" s="33">
        <v>43800</v>
      </c>
      <c r="F26" s="34">
        <v>392</v>
      </c>
      <c r="G26" s="9">
        <v>0</v>
      </c>
      <c r="H26" s="34">
        <v>392</v>
      </c>
      <c r="I26" s="9">
        <v>0</v>
      </c>
      <c r="J26" s="39">
        <v>0</v>
      </c>
      <c r="K26" s="39">
        <v>0</v>
      </c>
      <c r="L26" s="37">
        <v>0</v>
      </c>
    </row>
    <row r="27" spans="1:12" x14ac:dyDescent="0.3">
      <c r="A27" s="11" t="s">
        <v>206</v>
      </c>
      <c r="B27" s="8">
        <f>2.5% / 12</f>
        <v>2.0833333333333333E-3</v>
      </c>
      <c r="E27" s="33">
        <v>43831</v>
      </c>
      <c r="F27" s="34">
        <v>392</v>
      </c>
      <c r="G27" s="9">
        <v>0</v>
      </c>
      <c r="H27" s="34">
        <v>344</v>
      </c>
      <c r="I27" s="9">
        <v>-48</v>
      </c>
      <c r="J27" s="39">
        <v>-0.12244897959183673</v>
      </c>
      <c r="K27" s="39">
        <v>-0.12244897959183676</v>
      </c>
      <c r="L27" s="37">
        <v>1</v>
      </c>
    </row>
    <row r="28" spans="1:12" x14ac:dyDescent="0.3">
      <c r="A28" s="11"/>
      <c r="B28" s="33"/>
      <c r="E28" s="33">
        <v>43862</v>
      </c>
      <c r="F28" s="34">
        <v>344</v>
      </c>
      <c r="G28" s="9">
        <v>0</v>
      </c>
      <c r="H28" s="34">
        <v>344</v>
      </c>
      <c r="I28" s="9">
        <v>0</v>
      </c>
      <c r="J28" s="39">
        <v>0</v>
      </c>
      <c r="K28" s="39">
        <v>0</v>
      </c>
      <c r="L28" s="37">
        <v>0</v>
      </c>
    </row>
    <row r="29" spans="1:12" x14ac:dyDescent="0.3">
      <c r="A29" s="11"/>
      <c r="B29" s="44"/>
      <c r="E29" s="33">
        <v>43891</v>
      </c>
      <c r="F29" s="34">
        <v>344</v>
      </c>
      <c r="G29" s="9">
        <v>0</v>
      </c>
      <c r="H29" s="34">
        <v>344</v>
      </c>
      <c r="I29" s="9">
        <v>0</v>
      </c>
      <c r="J29" s="39">
        <v>0</v>
      </c>
      <c r="K29" s="39">
        <v>0</v>
      </c>
      <c r="L29" s="37">
        <v>0</v>
      </c>
    </row>
    <row r="30" spans="1:12" x14ac:dyDescent="0.3">
      <c r="A30" s="11"/>
      <c r="B30" s="44"/>
      <c r="E30" s="33">
        <v>43922</v>
      </c>
      <c r="F30" s="34">
        <v>344</v>
      </c>
      <c r="G30" s="9">
        <v>0</v>
      </c>
      <c r="H30" s="34">
        <v>344</v>
      </c>
      <c r="I30" s="9">
        <v>0</v>
      </c>
      <c r="J30" s="39">
        <v>0</v>
      </c>
      <c r="K30" s="39">
        <v>0</v>
      </c>
      <c r="L30" s="37">
        <v>0</v>
      </c>
    </row>
    <row r="31" spans="1:12" x14ac:dyDescent="0.3">
      <c r="A31" s="11"/>
      <c r="B31" s="45"/>
      <c r="E31" s="33">
        <v>43952</v>
      </c>
      <c r="F31" s="34">
        <v>344</v>
      </c>
      <c r="G31" s="9">
        <v>0</v>
      </c>
      <c r="H31" s="34">
        <v>344</v>
      </c>
      <c r="I31" s="9">
        <v>0</v>
      </c>
      <c r="J31" s="39">
        <v>0</v>
      </c>
      <c r="K31" s="39">
        <v>0</v>
      </c>
      <c r="L31" s="37">
        <v>0</v>
      </c>
    </row>
    <row r="32" spans="1:12" x14ac:dyDescent="0.3">
      <c r="E32" s="33">
        <v>43983</v>
      </c>
      <c r="F32" s="34">
        <v>344</v>
      </c>
      <c r="G32" s="9">
        <v>0</v>
      </c>
      <c r="H32" s="34">
        <v>344</v>
      </c>
      <c r="I32" s="9">
        <v>0</v>
      </c>
      <c r="J32" s="39">
        <v>0</v>
      </c>
      <c r="K32" s="39">
        <v>0</v>
      </c>
      <c r="L32" s="37">
        <v>0</v>
      </c>
    </row>
    <row r="33" spans="2:12" x14ac:dyDescent="0.3">
      <c r="E33" s="33">
        <v>44013</v>
      </c>
      <c r="F33" s="34">
        <v>344</v>
      </c>
      <c r="G33" s="9">
        <v>322.01998901367188</v>
      </c>
      <c r="H33" s="34">
        <v>590.02</v>
      </c>
      <c r="I33" s="9">
        <v>-76</v>
      </c>
      <c r="J33" s="39">
        <v>-0.11497384309768677</v>
      </c>
      <c r="K33" s="39">
        <v>-0.11411068736674579</v>
      </c>
      <c r="L33" s="37">
        <v>4</v>
      </c>
    </row>
    <row r="34" spans="2:12" x14ac:dyDescent="0.3">
      <c r="E34" s="33">
        <v>44044</v>
      </c>
      <c r="F34" s="34">
        <v>590.02</v>
      </c>
      <c r="G34" s="9">
        <v>0</v>
      </c>
      <c r="H34" s="34">
        <v>690.02</v>
      </c>
      <c r="I34" s="9">
        <v>100</v>
      </c>
      <c r="J34" s="39">
        <v>0.16948578014304599</v>
      </c>
      <c r="K34" s="39">
        <v>0.16948578014304605</v>
      </c>
      <c r="L34" s="37">
        <v>1</v>
      </c>
    </row>
    <row r="35" spans="2:12" x14ac:dyDescent="0.3">
      <c r="E35" s="33">
        <v>44075</v>
      </c>
      <c r="F35" s="34">
        <v>690.02</v>
      </c>
      <c r="G35" s="9">
        <v>0</v>
      </c>
      <c r="H35" s="34">
        <v>790.02</v>
      </c>
      <c r="I35" s="9">
        <v>100</v>
      </c>
      <c r="J35" s="39">
        <v>0.14492333555549114</v>
      </c>
      <c r="K35" s="39">
        <v>0.14492333555549108</v>
      </c>
      <c r="L35" s="37">
        <v>1</v>
      </c>
    </row>
    <row r="36" spans="2:12" x14ac:dyDescent="0.3">
      <c r="E36" s="33">
        <v>44105</v>
      </c>
      <c r="F36" s="34">
        <v>790.02</v>
      </c>
      <c r="G36" s="9">
        <v>0</v>
      </c>
      <c r="H36" s="34">
        <v>790.02</v>
      </c>
      <c r="I36" s="9">
        <v>0</v>
      </c>
      <c r="J36" s="39">
        <v>0</v>
      </c>
      <c r="K36" s="39">
        <v>0</v>
      </c>
      <c r="L36" s="37">
        <v>0</v>
      </c>
    </row>
    <row r="37" spans="2:12" x14ac:dyDescent="0.3">
      <c r="E37" s="33">
        <v>44136</v>
      </c>
      <c r="F37" s="34">
        <v>790.02</v>
      </c>
      <c r="G37" s="9">
        <v>0</v>
      </c>
      <c r="H37" s="34">
        <v>1105.02</v>
      </c>
      <c r="I37" s="9">
        <v>315</v>
      </c>
      <c r="J37" s="39">
        <v>0.39872408293460926</v>
      </c>
      <c r="K37" s="39">
        <v>0.39872408293460926</v>
      </c>
      <c r="L37" s="37">
        <v>3</v>
      </c>
    </row>
    <row r="38" spans="2:12" x14ac:dyDescent="0.3">
      <c r="B38" s="11"/>
      <c r="E38" s="33">
        <v>44166</v>
      </c>
      <c r="F38" s="34">
        <v>1105.02</v>
      </c>
      <c r="G38" s="9">
        <v>0</v>
      </c>
      <c r="H38" s="34">
        <v>1397.02</v>
      </c>
      <c r="I38" s="9">
        <v>292</v>
      </c>
      <c r="J38" s="39">
        <v>0.26424861088487089</v>
      </c>
      <c r="K38" s="39">
        <v>0.26424861088487095</v>
      </c>
      <c r="L38" s="37">
        <v>10</v>
      </c>
    </row>
    <row r="39" spans="2:12" x14ac:dyDescent="0.3">
      <c r="E39" s="33">
        <v>44197</v>
      </c>
      <c r="F39" s="34">
        <v>1397.02</v>
      </c>
      <c r="G39" s="9">
        <v>0</v>
      </c>
      <c r="H39" s="34">
        <v>1298.02</v>
      </c>
      <c r="I39" s="9">
        <v>-99</v>
      </c>
      <c r="J39" s="39">
        <v>-7.0865127199324279E-2</v>
      </c>
      <c r="K39" s="39">
        <v>-7.0865127199324252E-2</v>
      </c>
      <c r="L39" s="37">
        <v>7</v>
      </c>
    </row>
    <row r="40" spans="2:12" x14ac:dyDescent="0.3">
      <c r="E40" s="33">
        <v>44228</v>
      </c>
      <c r="F40" s="34">
        <v>1298.02</v>
      </c>
      <c r="G40" s="9">
        <v>750</v>
      </c>
      <c r="H40" s="34">
        <v>2064.02</v>
      </c>
      <c r="I40" s="9">
        <v>16</v>
      </c>
      <c r="J40" s="39">
        <v>7.8123807907104492E-3</v>
      </c>
      <c r="K40" s="39">
        <v>7.8124237067997981E-3</v>
      </c>
      <c r="L40" s="37">
        <v>5</v>
      </c>
    </row>
    <row r="41" spans="2:12" x14ac:dyDescent="0.3">
      <c r="E41" s="33">
        <v>44256</v>
      </c>
      <c r="F41" s="34">
        <v>2064.02</v>
      </c>
      <c r="G41" s="9">
        <v>0</v>
      </c>
      <c r="H41" s="34">
        <v>2171.13</v>
      </c>
      <c r="I41" s="9">
        <v>107.11000061035156</v>
      </c>
      <c r="J41" s="39">
        <v>5.1893876997315916E-2</v>
      </c>
      <c r="K41" s="39">
        <v>5.1893876997316069E-2</v>
      </c>
      <c r="L41" s="37">
        <v>4</v>
      </c>
    </row>
    <row r="42" spans="2:12" x14ac:dyDescent="0.3">
      <c r="E42" s="33">
        <v>44287</v>
      </c>
      <c r="F42" s="34">
        <v>2171.13</v>
      </c>
      <c r="G42" s="9">
        <v>0</v>
      </c>
      <c r="H42" s="34">
        <v>2039.13</v>
      </c>
      <c r="I42" s="9">
        <v>-132</v>
      </c>
      <c r="J42" s="39">
        <v>-6.0797833386301139E-2</v>
      </c>
      <c r="K42" s="39">
        <v>-6.0797833386301181E-2</v>
      </c>
      <c r="L42" s="37">
        <v>3</v>
      </c>
    </row>
    <row r="43" spans="2:12" x14ac:dyDescent="0.3">
      <c r="E43" s="33">
        <v>44317</v>
      </c>
      <c r="F43" s="34">
        <v>2039.13</v>
      </c>
      <c r="G43" s="9">
        <v>0</v>
      </c>
      <c r="H43" s="34">
        <v>1850.13</v>
      </c>
      <c r="I43" s="9">
        <v>-189</v>
      </c>
      <c r="J43" s="39">
        <v>-9.2686586926777587E-2</v>
      </c>
      <c r="K43" s="39">
        <v>-9.2686586926777559E-2</v>
      </c>
      <c r="L43" s="37">
        <v>8</v>
      </c>
    </row>
    <row r="44" spans="2:12" x14ac:dyDescent="0.3">
      <c r="E44" s="33">
        <v>44348</v>
      </c>
      <c r="F44" s="34">
        <v>1850.13</v>
      </c>
      <c r="G44" s="9">
        <v>0</v>
      </c>
      <c r="H44" s="34">
        <v>1815.13</v>
      </c>
      <c r="I44" s="9">
        <v>-35</v>
      </c>
      <c r="J44" s="39">
        <v>-1.8917589574786637E-2</v>
      </c>
      <c r="K44" s="39">
        <v>-1.891758957478662E-2</v>
      </c>
      <c r="L44" s="37">
        <v>8</v>
      </c>
    </row>
    <row r="45" spans="2:12" x14ac:dyDescent="0.3">
      <c r="E45" s="33">
        <v>44378</v>
      </c>
      <c r="F45" s="34">
        <v>1815.13</v>
      </c>
      <c r="G45" s="9">
        <v>0</v>
      </c>
      <c r="H45" s="34">
        <v>1881.13</v>
      </c>
      <c r="I45" s="9">
        <v>66</v>
      </c>
      <c r="J45" s="39">
        <v>3.6361031992198901E-2</v>
      </c>
      <c r="K45" s="39">
        <v>3.6361031992198978E-2</v>
      </c>
      <c r="L45" s="37">
        <v>6</v>
      </c>
    </row>
    <row r="46" spans="2:12" x14ac:dyDescent="0.3">
      <c r="E46" s="33">
        <v>44409</v>
      </c>
      <c r="F46" s="34">
        <v>1881.13</v>
      </c>
      <c r="G46" s="34">
        <v>0</v>
      </c>
      <c r="H46" s="34">
        <v>1793.13</v>
      </c>
      <c r="I46" s="9">
        <v>-88</v>
      </c>
      <c r="J46" s="39">
        <v>-4.6780392636340921E-2</v>
      </c>
      <c r="K46" s="39">
        <v>-4.6780392636340928E-2</v>
      </c>
      <c r="L46" s="37">
        <v>6</v>
      </c>
    </row>
    <row r="47" spans="2:12" x14ac:dyDescent="0.3">
      <c r="E47" s="33">
        <v>44440</v>
      </c>
      <c r="F47" s="34">
        <v>1793.13</v>
      </c>
      <c r="G47" s="9">
        <v>0</v>
      </c>
      <c r="H47" s="34">
        <v>1899.13</v>
      </c>
      <c r="I47" s="9">
        <v>106</v>
      </c>
      <c r="J47" s="39">
        <v>5.9114509265920483E-2</v>
      </c>
      <c r="K47" s="39">
        <v>5.9114509265920434E-2</v>
      </c>
      <c r="L47" s="37">
        <v>5</v>
      </c>
    </row>
    <row r="48" spans="2:12" x14ac:dyDescent="0.3">
      <c r="E48" s="33">
        <v>44470</v>
      </c>
      <c r="F48" s="34" t="s">
        <v>239</v>
      </c>
      <c r="G48" s="9">
        <v>1572.0199890136719</v>
      </c>
      <c r="H48" s="34">
        <v>1899.13</v>
      </c>
      <c r="I48" s="9">
        <v>327.11000061035156</v>
      </c>
      <c r="J48" s="39">
        <v>0.24216611484395845</v>
      </c>
      <c r="K48" s="39">
        <v>0.20808259436902854</v>
      </c>
      <c r="L48" s="37">
        <v>82</v>
      </c>
    </row>
    <row r="49" spans="5:9" x14ac:dyDescent="0.3">
      <c r="E49" s="33"/>
      <c r="F49" s="34"/>
      <c r="H49" s="34"/>
      <c r="I49" s="43"/>
    </row>
    <row r="50" spans="5:9" x14ac:dyDescent="0.3">
      <c r="E50" s="33"/>
      <c r="F50" s="34"/>
      <c r="H50" s="34"/>
    </row>
    <row r="51" spans="5:9" x14ac:dyDescent="0.3">
      <c r="E51" s="33"/>
      <c r="F51" s="34"/>
      <c r="H51" s="34"/>
    </row>
    <row r="52" spans="5:9" x14ac:dyDescent="0.3">
      <c r="E52" s="33"/>
      <c r="F52" s="34"/>
      <c r="H52" s="34"/>
    </row>
    <row r="53" spans="5:9" x14ac:dyDescent="0.3">
      <c r="E53" s="33"/>
      <c r="F53" s="34"/>
      <c r="H53" s="34"/>
    </row>
    <row r="54" spans="5:9" x14ac:dyDescent="0.3">
      <c r="E54" s="33"/>
      <c r="F54" s="34"/>
      <c r="H54" s="34"/>
    </row>
    <row r="55" spans="5:9" x14ac:dyDescent="0.3">
      <c r="E55" s="33"/>
      <c r="F55" s="34"/>
      <c r="H55" s="34"/>
    </row>
    <row r="56" spans="5:9" x14ac:dyDescent="0.3">
      <c r="E56" s="33"/>
      <c r="F56" s="34"/>
      <c r="H56" s="34"/>
    </row>
    <row r="57" spans="5:9" x14ac:dyDescent="0.3">
      <c r="E57" s="33"/>
      <c r="F57" s="34"/>
      <c r="H57" s="34"/>
    </row>
    <row r="58" spans="5:9" x14ac:dyDescent="0.3">
      <c r="E58" s="33"/>
      <c r="F58" s="34"/>
      <c r="H58" s="34"/>
    </row>
    <row r="59" spans="5:9" x14ac:dyDescent="0.3">
      <c r="E59" s="33"/>
      <c r="F59" s="34"/>
      <c r="H59" s="34"/>
    </row>
    <row r="60" spans="5:9" x14ac:dyDescent="0.3">
      <c r="E60" s="33"/>
      <c r="F60" s="34"/>
      <c r="H60" s="34"/>
    </row>
    <row r="61" spans="5:9" x14ac:dyDescent="0.3">
      <c r="E61" s="33"/>
      <c r="F61" s="34"/>
      <c r="H61" s="34"/>
    </row>
    <row r="62" spans="5:9" x14ac:dyDescent="0.3">
      <c r="E62" s="33"/>
      <c r="F62" s="34"/>
      <c r="H62" s="34"/>
    </row>
    <row r="63" spans="5:9" x14ac:dyDescent="0.3">
      <c r="E63" s="33"/>
      <c r="F63" s="34"/>
      <c r="H63" s="34"/>
    </row>
    <row r="64" spans="5:9" x14ac:dyDescent="0.3">
      <c r="E64" s="33"/>
      <c r="F64" s="34"/>
      <c r="H64" s="34"/>
    </row>
    <row r="65" spans="5:8" x14ac:dyDescent="0.3">
      <c r="E65" s="33"/>
      <c r="F65" s="34"/>
      <c r="H65" s="34"/>
    </row>
    <row r="66" spans="5:8" x14ac:dyDescent="0.3">
      <c r="E66" s="33"/>
      <c r="F66" s="34"/>
      <c r="H66" s="34"/>
    </row>
    <row r="67" spans="5:8" x14ac:dyDescent="0.3">
      <c r="E67" s="33"/>
      <c r="F67" s="34"/>
      <c r="H67" s="34"/>
    </row>
    <row r="68" spans="5:8" x14ac:dyDescent="0.3">
      <c r="E68" s="33"/>
      <c r="F68" s="34"/>
      <c r="H68" s="34"/>
    </row>
    <row r="69" spans="5:8" x14ac:dyDescent="0.3">
      <c r="E69" s="33"/>
      <c r="F69" s="34"/>
      <c r="H69" s="34"/>
    </row>
    <row r="70" spans="5:8" x14ac:dyDescent="0.3">
      <c r="E70" s="33"/>
      <c r="F70" s="34"/>
      <c r="H70" s="34"/>
    </row>
    <row r="71" spans="5:8" x14ac:dyDescent="0.3">
      <c r="E71" s="33"/>
      <c r="F71" s="34"/>
      <c r="H71" s="34"/>
    </row>
    <row r="72" spans="5:8" x14ac:dyDescent="0.3">
      <c r="E72" s="33"/>
      <c r="F72" s="34"/>
      <c r="H72" s="34"/>
    </row>
    <row r="73" spans="5:8" x14ac:dyDescent="0.3">
      <c r="E73" s="33"/>
      <c r="F73" s="34"/>
      <c r="H73" s="34"/>
    </row>
    <row r="74" spans="5:8" x14ac:dyDescent="0.3">
      <c r="E74" s="33"/>
      <c r="F74" s="34"/>
      <c r="H74" s="34"/>
    </row>
    <row r="75" spans="5:8" x14ac:dyDescent="0.3">
      <c r="E75" s="33"/>
      <c r="F75" s="34"/>
      <c r="H75" s="34"/>
    </row>
    <row r="76" spans="5:8" x14ac:dyDescent="0.3">
      <c r="E76" s="33"/>
      <c r="F76" s="34"/>
      <c r="H76" s="34"/>
    </row>
    <row r="77" spans="5:8" x14ac:dyDescent="0.3">
      <c r="E77" s="33"/>
      <c r="F77" s="34"/>
      <c r="H77" s="34"/>
    </row>
    <row r="78" spans="5:8" x14ac:dyDescent="0.3">
      <c r="E78" s="33"/>
      <c r="F78" s="34"/>
      <c r="H78" s="34"/>
    </row>
    <row r="79" spans="5:8" x14ac:dyDescent="0.3">
      <c r="E79" s="33"/>
      <c r="F79" s="34"/>
      <c r="H79" s="34"/>
    </row>
    <row r="80" spans="5:8" x14ac:dyDescent="0.3">
      <c r="E80" s="33"/>
      <c r="F80" s="34"/>
      <c r="H80" s="34"/>
    </row>
    <row r="81" spans="5:8" x14ac:dyDescent="0.3">
      <c r="E81" s="33"/>
      <c r="F81" s="34"/>
      <c r="H81" s="34"/>
    </row>
    <row r="82" spans="5:8" x14ac:dyDescent="0.3">
      <c r="E82" s="33"/>
      <c r="F82" s="34"/>
      <c r="H82" s="34"/>
    </row>
    <row r="83" spans="5:8" x14ac:dyDescent="0.3">
      <c r="E83" s="33"/>
      <c r="F83" s="34"/>
      <c r="H83" s="34"/>
    </row>
    <row r="84" spans="5:8" x14ac:dyDescent="0.3">
      <c r="E84" s="33"/>
      <c r="F84" s="34"/>
      <c r="H84" s="34"/>
    </row>
    <row r="85" spans="5:8" x14ac:dyDescent="0.3">
      <c r="E85" s="33"/>
      <c r="F85" s="34"/>
      <c r="H85" s="34"/>
    </row>
    <row r="86" spans="5:8" x14ac:dyDescent="0.3">
      <c r="E86" s="33"/>
      <c r="F86" s="34"/>
      <c r="H86" s="34"/>
    </row>
    <row r="87" spans="5:8" x14ac:dyDescent="0.3">
      <c r="E87" s="33"/>
      <c r="F87" s="34"/>
      <c r="H87" s="34"/>
    </row>
    <row r="88" spans="5:8" x14ac:dyDescent="0.3">
      <c r="E88" s="33"/>
      <c r="F88" s="34"/>
      <c r="H88" s="34"/>
    </row>
    <row r="89" spans="5:8" x14ac:dyDescent="0.3">
      <c r="E89" s="33"/>
      <c r="F89" s="34"/>
      <c r="H89" s="34"/>
    </row>
    <row r="90" spans="5:8" x14ac:dyDescent="0.3">
      <c r="E90" s="33"/>
      <c r="F90" s="34"/>
      <c r="H90" s="34"/>
    </row>
    <row r="91" spans="5:8" x14ac:dyDescent="0.3">
      <c r="E91" s="33"/>
      <c r="F91" s="34"/>
      <c r="H91" s="34"/>
    </row>
    <row r="92" spans="5:8" x14ac:dyDescent="0.3">
      <c r="E92" s="33"/>
      <c r="F92" s="34"/>
      <c r="H92" s="34"/>
    </row>
    <row r="93" spans="5:8" x14ac:dyDescent="0.3">
      <c r="E93" s="33"/>
      <c r="F93" s="34"/>
      <c r="H93" s="34"/>
    </row>
    <row r="94" spans="5:8" x14ac:dyDescent="0.3">
      <c r="E94" s="33"/>
      <c r="F94" s="34"/>
      <c r="H94" s="34"/>
    </row>
    <row r="95" spans="5:8" x14ac:dyDescent="0.3">
      <c r="E95" s="33"/>
      <c r="F95" s="34"/>
      <c r="H95" s="34"/>
    </row>
    <row r="96" spans="5:8" x14ac:dyDescent="0.3">
      <c r="E96" s="33"/>
      <c r="F96" s="34"/>
      <c r="H96" s="34"/>
    </row>
    <row r="97" spans="5:8" x14ac:dyDescent="0.3">
      <c r="E97" s="33"/>
      <c r="F97" s="34"/>
      <c r="H97" s="34"/>
    </row>
    <row r="98" spans="5:8" x14ac:dyDescent="0.3">
      <c r="E98" s="33"/>
      <c r="F98" s="34"/>
      <c r="H98" s="34"/>
    </row>
    <row r="99" spans="5:8" x14ac:dyDescent="0.3">
      <c r="E99" s="33"/>
      <c r="F99" s="34"/>
      <c r="H99" s="34"/>
    </row>
    <row r="100" spans="5:8" x14ac:dyDescent="0.3">
      <c r="E100" s="33"/>
      <c r="F100" s="34"/>
      <c r="H100" s="34"/>
    </row>
    <row r="101" spans="5:8" x14ac:dyDescent="0.3">
      <c r="E101" s="33"/>
      <c r="F101" s="34"/>
      <c r="H101" s="34"/>
    </row>
    <row r="102" spans="5:8" x14ac:dyDescent="0.3">
      <c r="E102" s="33"/>
      <c r="F102" s="34"/>
      <c r="H102" s="34"/>
    </row>
    <row r="103" spans="5:8" x14ac:dyDescent="0.3">
      <c r="E103" s="33"/>
      <c r="F103" s="34"/>
      <c r="H103" s="34"/>
    </row>
    <row r="104" spans="5:8" x14ac:dyDescent="0.3">
      <c r="E104" s="33"/>
      <c r="F104" s="34"/>
      <c r="H104" s="34"/>
    </row>
    <row r="105" spans="5:8" x14ac:dyDescent="0.3">
      <c r="E105" s="33"/>
      <c r="F105" s="34"/>
      <c r="H105" s="34"/>
    </row>
    <row r="106" spans="5:8" x14ac:dyDescent="0.3">
      <c r="E106" s="33"/>
      <c r="F106" s="34"/>
      <c r="H106" s="34"/>
    </row>
    <row r="107" spans="5:8" x14ac:dyDescent="0.3">
      <c r="E107" s="33"/>
      <c r="F107" s="34"/>
      <c r="H107" s="34"/>
    </row>
    <row r="108" spans="5:8" x14ac:dyDescent="0.3">
      <c r="E108" s="33"/>
      <c r="F108" s="34"/>
      <c r="H108" s="34"/>
    </row>
    <row r="109" spans="5:8" x14ac:dyDescent="0.3">
      <c r="E109" s="33"/>
      <c r="F109" s="34"/>
      <c r="H109" s="34"/>
    </row>
    <row r="110" spans="5:8" x14ac:dyDescent="0.3">
      <c r="E110" s="33"/>
      <c r="F110" s="34"/>
      <c r="H110" s="34"/>
    </row>
    <row r="111" spans="5:8" x14ac:dyDescent="0.3">
      <c r="E111" s="33"/>
      <c r="F111" s="34"/>
      <c r="H111" s="34"/>
    </row>
    <row r="112" spans="5:8" x14ac:dyDescent="0.3">
      <c r="E112" s="33"/>
      <c r="F112" s="34"/>
      <c r="H112" s="34"/>
    </row>
    <row r="113" spans="5:9" x14ac:dyDescent="0.3">
      <c r="E113" s="33"/>
      <c r="F113" s="34"/>
      <c r="H113" s="34"/>
    </row>
    <row r="114" spans="5:9" x14ac:dyDescent="0.3">
      <c r="E114" s="33"/>
      <c r="F114" s="34"/>
      <c r="H114" s="34"/>
    </row>
    <row r="115" spans="5:9" x14ac:dyDescent="0.3">
      <c r="E115" s="33"/>
      <c r="F115" s="34"/>
      <c r="H115" s="34"/>
    </row>
    <row r="116" spans="5:9" x14ac:dyDescent="0.3">
      <c r="E116" s="33"/>
      <c r="F116" s="34"/>
      <c r="H116" s="34"/>
    </row>
    <row r="117" spans="5:9" x14ac:dyDescent="0.3">
      <c r="E117" s="33"/>
      <c r="F117" s="34"/>
      <c r="H117" s="34"/>
    </row>
    <row r="118" spans="5:9" x14ac:dyDescent="0.3">
      <c r="E118" s="33"/>
      <c r="F118" s="34"/>
      <c r="H118" s="34"/>
    </row>
    <row r="119" spans="5:9" x14ac:dyDescent="0.3">
      <c r="E119" s="33"/>
      <c r="F119" s="34"/>
      <c r="H119" s="34"/>
    </row>
    <row r="120" spans="5:9" x14ac:dyDescent="0.3">
      <c r="E120" s="33"/>
      <c r="F120" s="34"/>
      <c r="H120" s="34"/>
    </row>
    <row r="121" spans="5:9" x14ac:dyDescent="0.3">
      <c r="E121" s="33"/>
      <c r="F121" s="34"/>
      <c r="H121" s="34"/>
    </row>
    <row r="122" spans="5:9" x14ac:dyDescent="0.3">
      <c r="E122" s="33"/>
      <c r="F122" s="34"/>
      <c r="H122" s="34"/>
    </row>
    <row r="123" spans="5:9" x14ac:dyDescent="0.3">
      <c r="E123" s="33"/>
      <c r="F123" s="34"/>
      <c r="H123" s="34"/>
    </row>
    <row r="124" spans="5:9" x14ac:dyDescent="0.3">
      <c r="E124" s="33"/>
      <c r="F124" s="34"/>
      <c r="H124" s="34"/>
    </row>
    <row r="126" spans="5:9" x14ac:dyDescent="0.3">
      <c r="H126" s="42"/>
      <c r="I126" s="43"/>
    </row>
  </sheetData>
  <mergeCells count="5">
    <mergeCell ref="E20:L20"/>
    <mergeCell ref="A1:B1"/>
    <mergeCell ref="F7:H14"/>
    <mergeCell ref="F6:H6"/>
    <mergeCell ref="J1:K1"/>
  </mergeCells>
  <phoneticPr fontId="7" type="noConversion"/>
  <conditionalFormatting sqref="I22:K147">
    <cfRule type="cellIs" dxfId="19" priority="1" operator="greaterThan">
      <formula>0</formula>
    </cfRule>
    <cfRule type="cellIs" dxfId="18" priority="2" operator="lessThan">
      <formula>0</formula>
    </cfRule>
    <cfRule type="cellIs" dxfId="17" priority="3" operator="greaterThan">
      <formula>0</formula>
    </cfRule>
  </conditionalFormatting>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ize_data">
                <anchor moveWithCells="1" sizeWithCells="1">
                  <from>
                    <xdr:col>2</xdr:col>
                    <xdr:colOff>190500</xdr:colOff>
                    <xdr:row>1</xdr:row>
                    <xdr:rowOff>45720</xdr:rowOff>
                  </from>
                  <to>
                    <xdr:col>4</xdr:col>
                    <xdr:colOff>396240</xdr:colOff>
                    <xdr:row>3</xdr:row>
                    <xdr:rowOff>45720</xdr:rowOff>
                  </to>
                </anchor>
              </controlPr>
            </control>
          </mc:Choice>
        </mc:AlternateContent>
        <mc:AlternateContent xmlns:mc="http://schemas.openxmlformats.org/markup-compatibility/2006">
          <mc:Choice Requires="x14">
            <control shapeId="2050" r:id="rId5" name="Button 2">
              <controlPr defaultSize="0" print="0" autoFill="0" autoPict="0" macro="[0]!Summarize_date_data">
                <anchor moveWithCells="1" sizeWithCells="1">
                  <from>
                    <xdr:col>1</xdr:col>
                    <xdr:colOff>1219200</xdr:colOff>
                    <xdr:row>22</xdr:row>
                    <xdr:rowOff>121920</xdr:rowOff>
                  </from>
                  <to>
                    <xdr:col>3</xdr:col>
                    <xdr:colOff>541020</xdr:colOff>
                    <xdr:row>25</xdr:row>
                    <xdr:rowOff>121920</xdr:rowOff>
                  </to>
                </anchor>
              </controlPr>
            </control>
          </mc:Choice>
        </mc:AlternateContent>
        <mc:AlternateContent xmlns:mc="http://schemas.openxmlformats.org/markup-compatibility/2006">
          <mc:Choice Requires="x14">
            <control shapeId="2052" r:id="rId6" name="Button 4">
              <controlPr defaultSize="0" print="0" autoFill="0" autoPict="0" macro="[0]!Delete">
                <anchor moveWithCells="1" sizeWithCells="1">
                  <from>
                    <xdr:col>1</xdr:col>
                    <xdr:colOff>1173480</xdr:colOff>
                    <xdr:row>19</xdr:row>
                    <xdr:rowOff>160020</xdr:rowOff>
                  </from>
                  <to>
                    <xdr:col>3</xdr:col>
                    <xdr:colOff>563880</xdr:colOff>
                    <xdr:row>22</xdr:row>
                    <xdr:rowOff>22860</xdr:rowOff>
                  </to>
                </anchor>
              </controlPr>
            </control>
          </mc:Choice>
        </mc:AlternateContent>
      </controls>
    </mc:Choice>
  </mc:AlternateContent>
  <tableParts count="1">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Charts</vt:lpstr>
      </vt:variant>
      <vt:variant>
        <vt:i4>1</vt:i4>
      </vt:variant>
    </vt:vector>
  </HeadingPairs>
  <TitlesOfParts>
    <vt:vector size="3" baseType="lpstr">
      <vt:lpstr>Journal</vt:lpstr>
      <vt:lpstr>Statistics &amp; Data</vt:lpstr>
      <vt:lpstr>Returns Over 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Wyatt</dc:creator>
  <cp:lastModifiedBy>Wyatt</cp:lastModifiedBy>
  <cp:lastPrinted>2021-07-28T13:57:21Z</cp:lastPrinted>
  <dcterms:created xsi:type="dcterms:W3CDTF">2020-11-24T21:06:51Z</dcterms:created>
  <dcterms:modified xsi:type="dcterms:W3CDTF">2021-10-21T22:03:23Z</dcterms:modified>
</cp:coreProperties>
</file>